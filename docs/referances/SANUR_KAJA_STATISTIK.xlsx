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I. Geografi dan Iklim" sheetId="2" r:id="rId5"/>
    <sheet state="visible" name="II. Kependudukan" sheetId="3" r:id="rId6"/>
    <sheet state="visible" name="III. Infrastruktur" sheetId="4" r:id="rId7"/>
    <sheet state="visible" name="IV. Ekonomi" sheetId="5" r:id="rId8"/>
    <sheet state="visible" name="V. Pemerintah Desa" sheetId="6" r:id="rId9"/>
    <sheet state="visible" name="VI. Kesehatan" sheetId="7" r:id="rId10"/>
    <sheet state="visible" name="SDGs Desa" sheetId="8" r:id="rId11"/>
    <sheet state="hidden" name="Daftar Data full" sheetId="9" r:id="rId12"/>
    <sheet state="hidden" name="Pembagian" sheetId="10" r:id="rId13"/>
  </sheets>
  <definedNames>
    <definedName hidden="1" localSheetId="2" name="_xlnm._FilterDatabase">'II. Kependudukan'!$A$58:$F$70</definedName>
  </definedNames>
  <calcPr/>
  <extLst>
    <ext uri="GoogleSheetsCustomDataVersion2">
      <go:sheetsCustomData xmlns:go="http://customooxmlschemas.google.com/" r:id="rId14" roundtripDataChecksum="UDxVxzGQy9xr/AykGPuhCAiOkZ1h1IRyDbm1QpjWS4M="/>
    </ext>
  </extLst>
</workbook>
</file>

<file path=xl/sharedStrings.xml><?xml version="1.0" encoding="utf-8"?>
<sst xmlns="http://schemas.openxmlformats.org/spreadsheetml/2006/main" count="569" uniqueCount="388">
  <si>
    <t>DATA DESA SANUR KAJA</t>
  </si>
  <si>
    <t>I</t>
  </si>
  <si>
    <t>KONDISI GEOGRAFI DAN IKLIM</t>
  </si>
  <si>
    <t>Tabel 1.1 Kondisi Geografi dan Iklim di Desa Sanur Kaja</t>
  </si>
  <si>
    <t>II</t>
  </si>
  <si>
    <t>KEPENDUDUKAN</t>
  </si>
  <si>
    <t>Tabel 2.1 Jumlah Keluarga di Desa Sanur Kaja, 2022-2024 (KK)</t>
  </si>
  <si>
    <t>Tabel 2.2 Jumlah Penduduk Desa Sanur Kaja Menurut Jenis Kelamin, 2022-2024 (jiwa)</t>
  </si>
  <si>
    <t>Tabel 2.3 Rasio Jenis Kelamin Penduduk Desa Sanur Kaja, 2022-2024</t>
  </si>
  <si>
    <t>Tabel 2.4 Jumlah Penduduk Desa Sanur Kaja Menurut Dusun dan Jenis Kelamin, 2022-2024</t>
  </si>
  <si>
    <t>Tabel 2.5 Jumlah Penduduk Desa Sanur Kaja Menurut Agama/Kepercayaan, 2022-2024 (jiwa)</t>
  </si>
  <si>
    <t>Tabel 2.6 Jumlah Penduduk Desa Sanur Kaja Menurut Kewarganegaraan dan Jenis Kelamin, 2022-2024 (jiwa)</t>
  </si>
  <si>
    <t>Tabel 2.7 Jumlah Penduduk Desa Sanur Kaja Menurut Pendidikan Tertinggi Yang Ditamatkan, 2022-2024 (jiwa)</t>
  </si>
  <si>
    <t>Tabel 2.8 Jumlah Penduduk Menurut Pekerjaan di Desa Sanur Kaja, 2022-2024 (jiwa)</t>
  </si>
  <si>
    <t>Tabel 2.9 Jumlah Penduduk Desa Sanur Kaja Menurut Kelompok Umur, 2022-2024 (jiwa)</t>
  </si>
  <si>
    <t>III</t>
  </si>
  <si>
    <t>INFRASTRUKTUR</t>
  </si>
  <si>
    <t>Tabel 3.1 Jumlah Sarana Pendidikan di Desa Sanur Kaja, 2024 (unit)</t>
  </si>
  <si>
    <t>Tabel 3.2 Jumlah Sarana Kesehatan di Desa Sanur Kaja, 2024 (unit)</t>
  </si>
  <si>
    <t>Tabel 3.3 Jumlah Sarana Tempat Ibadah di Desa Sanur Kaja, 2024 (unit)</t>
  </si>
  <si>
    <t>IV</t>
  </si>
  <si>
    <t>EKONOMI</t>
  </si>
  <si>
    <t>Tabel 4.1 Jumlah Sarana Lembaga Ekonomi di Desa Sanur Kaja, 2022-2024 (unit)</t>
  </si>
  <si>
    <t>Tabel 4.2 Jumlah Keluarga Penerima Jaring Pengaman Sosial (JPS) di Desa Sanur Kaja Menurut Jenisnya, 2022-2024 (KK)</t>
  </si>
  <si>
    <t>Tabel 4.3 Jumlah Koperasi di Desa Sanur Kaja menurut Jenisnya, 2022-2024 (Unit)</t>
  </si>
  <si>
    <t>V</t>
  </si>
  <si>
    <t>PEMERINTAH DESA</t>
  </si>
  <si>
    <t>Tabel 5.1 Jumlah Perangkat Desa di Desa Sanur Kaja, 2022-2024 (jiwa)</t>
  </si>
  <si>
    <t>Tabel 5.2 APB Desa Sanur Kaja, 2022-2024 (Rupiah)</t>
  </si>
  <si>
    <t>Tabel 5.3 Jumlah Produk Hukum di Desa Sanur Kaja, 2022-2024</t>
  </si>
  <si>
    <t>VI</t>
  </si>
  <si>
    <t>SDGs</t>
  </si>
  <si>
    <t>Uraian</t>
  </si>
  <si>
    <t>Satuan</t>
  </si>
  <si>
    <t xml:space="preserve">Luas Wilayah </t>
  </si>
  <si>
    <t>Ha</t>
  </si>
  <si>
    <t xml:space="preserve">Ketinggian Tanah  </t>
  </si>
  <si>
    <t>Mdpl</t>
  </si>
  <si>
    <t>0-7</t>
  </si>
  <si>
    <t>Curah Hujan</t>
  </si>
  <si>
    <t>mm/tahun</t>
  </si>
  <si>
    <t>Suhu Udara Rata-Rata</t>
  </si>
  <si>
    <t>derajat celcius</t>
  </si>
  <si>
    <t>Sumber: Pemerintah Desa Sanur Kaja</t>
  </si>
  <si>
    <t>Keluarga</t>
  </si>
  <si>
    <t>Jenis Kelamin</t>
  </si>
  <si>
    <t>Laki-Laki</t>
  </si>
  <si>
    <t>Perempuan</t>
  </si>
  <si>
    <t>Jumlah</t>
  </si>
  <si>
    <t>Sex Ratio</t>
  </si>
  <si>
    <t>Dusun</t>
  </si>
  <si>
    <t>KK</t>
  </si>
  <si>
    <t>Laki-laki</t>
  </si>
  <si>
    <t>Total</t>
  </si>
  <si>
    <t>Belong</t>
  </si>
  <si>
    <t xml:space="preserve">Pekandelan </t>
  </si>
  <si>
    <t>Batanpoh</t>
  </si>
  <si>
    <t xml:space="preserve">Anggarkasih </t>
  </si>
  <si>
    <t>Buruwan</t>
  </si>
  <si>
    <t xml:space="preserve">Tegal Asah </t>
  </si>
  <si>
    <t xml:space="preserve">Langon </t>
  </si>
  <si>
    <t xml:space="preserve">Wirasana </t>
  </si>
  <si>
    <t>Desa Sanur Kaja</t>
  </si>
  <si>
    <t>Agama</t>
  </si>
  <si>
    <t>Hindu</t>
  </si>
  <si>
    <t>Islam</t>
  </si>
  <si>
    <t>Khatolik</t>
  </si>
  <si>
    <t>Kristen</t>
  </si>
  <si>
    <t>Budha</t>
  </si>
  <si>
    <t>Konghucu</t>
  </si>
  <si>
    <t>Kelompok Umur</t>
  </si>
  <si>
    <t>Warga Negara Indonesia</t>
  </si>
  <si>
    <t>Warga Negara Asing</t>
  </si>
  <si>
    <t>oke</t>
  </si>
  <si>
    <t>Pendidikan/Tahun</t>
  </si>
  <si>
    <t>Tamat SD/sederajat</t>
  </si>
  <si>
    <t>Tamat SMP/sederajat</t>
  </si>
  <si>
    <t>Tamat SMA/sederajat</t>
  </si>
  <si>
    <t>Tamat D-1/sederajat</t>
  </si>
  <si>
    <t>Tamat D-2/sederajat</t>
  </si>
  <si>
    <t>Tamat D-3/sederajat</t>
  </si>
  <si>
    <t>Tamat S-1/sederajat</t>
  </si>
  <si>
    <t>Tamat S-2/sederajat</t>
  </si>
  <si>
    <t>Tamat S-3/sederajat</t>
  </si>
  <si>
    <t>Pekerjaan</t>
  </si>
  <si>
    <t>Data untuk lainnya ambil dari profil desa</t>
  </si>
  <si>
    <t>PNS, POLRI, dan TNI</t>
  </si>
  <si>
    <t>PROFIL DESA 2022</t>
  </si>
  <si>
    <t>HAL 45</t>
  </si>
  <si>
    <t>Buruh</t>
  </si>
  <si>
    <t>PROFIL DESA 2023</t>
  </si>
  <si>
    <t>HAL 31</t>
  </si>
  <si>
    <t>Petani</t>
  </si>
  <si>
    <t>PROFIL DESA 2024</t>
  </si>
  <si>
    <t>Nelayan</t>
  </si>
  <si>
    <t>Wiraswasta</t>
  </si>
  <si>
    <t>Guru</t>
  </si>
  <si>
    <t>Perangkat Desa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</si>
  <si>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</si>
  <si>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</si>
  <si>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</si>
  <si>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</si>
  <si>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</si>
  <si>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</si>
  <si>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</si>
  <si>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</si>
  <si>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</si>
  <si>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</si>
  <si>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</si>
  <si>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</si>
  <si>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</si>
  <si>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</si>
  <si>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</si>
  <si>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75+</t>
  </si>
  <si>
    <t>Tabel 2.10 Jumlah Keluarga di Desa Sanur Kaja menurut Jenis Kelamin Kepala Keluarga, 2022-2024</t>
  </si>
  <si>
    <t>Jenis Kelamin Kepala Keluarga</t>
  </si>
  <si>
    <t>Tabel 2.11 Jumlah Penduduk Desa Sanur Kaja menurut Suku/Etnis</t>
  </si>
  <si>
    <t>Suku/Etnis</t>
  </si>
  <si>
    <t>Tahun 2024 harusnya jumlah laki-laki 4171, perempuan 3977</t>
  </si>
  <si>
    <t>Jawa</t>
  </si>
  <si>
    <t>Bali</t>
  </si>
  <si>
    <t>Flores</t>
  </si>
  <si>
    <t>?</t>
  </si>
  <si>
    <t>China</t>
  </si>
  <si>
    <t>Bali Hindu</t>
  </si>
  <si>
    <t>Sarana Pendidikan</t>
  </si>
  <si>
    <t>TK</t>
  </si>
  <si>
    <t>TK Wisma Kumara, Agape dan TK Dewi Kunti</t>
  </si>
  <si>
    <t>SD</t>
  </si>
  <si>
    <t>SD N 2 , 6 dan 12 Sanur</t>
  </si>
  <si>
    <t>SMP</t>
  </si>
  <si>
    <t>Tidak Ada</t>
  </si>
  <si>
    <t>di prodeskel 1</t>
  </si>
  <si>
    <t>SMA</t>
  </si>
  <si>
    <t>SMA N 6 Sanur</t>
  </si>
  <si>
    <t>Universitas</t>
  </si>
  <si>
    <t>Sarana Kesehatan</t>
  </si>
  <si>
    <t>Rumah Sakit</t>
  </si>
  <si>
    <t>Puskesmas Pembantu</t>
  </si>
  <si>
    <t>Apotek</t>
  </si>
  <si>
    <t>Posyandu</t>
  </si>
  <si>
    <t>Jumlah Rumah/Kantor Praktik Dokter</t>
  </si>
  <si>
    <t>Sarana Tempat Ibadah</t>
  </si>
  <si>
    <t>Pura</t>
  </si>
  <si>
    <t>Masjid</t>
  </si>
  <si>
    <t>Gereja</t>
  </si>
  <si>
    <t>Vihara</t>
  </si>
  <si>
    <t>Lembaga Ekonomi</t>
  </si>
  <si>
    <t>Bumdes</t>
  </si>
  <si>
    <t>Lembaga Keuangan Non Bank</t>
  </si>
  <si>
    <t>Bank Pemerintah</t>
  </si>
  <si>
    <t xml:space="preserve">Bank Swasta </t>
  </si>
  <si>
    <t xml:space="preserve">Bank Pemerintah Daerah </t>
  </si>
  <si>
    <t>Jaring Pengaman Sosial</t>
  </si>
  <si>
    <t>BLT Desa</t>
  </si>
  <si>
    <t>BPNT</t>
  </si>
  <si>
    <t>PKH</t>
  </si>
  <si>
    <t>PIP</t>
  </si>
  <si>
    <t>Koperasi Unit Desa</t>
  </si>
  <si>
    <t>Koperasi Simpan Pinjam</t>
  </si>
  <si>
    <t>Perbekel</t>
  </si>
  <si>
    <t>Sekretaris Desa</t>
  </si>
  <si>
    <t>Kasi</t>
  </si>
  <si>
    <t>Kaur</t>
  </si>
  <si>
    <t>Pelaksana Kewilayahan</t>
  </si>
  <si>
    <t>Pendapatan Desa</t>
  </si>
  <si>
    <t>Belanja Desa</t>
  </si>
  <si>
    <t>APB Desa Sanur Kaja 2022 - 2024</t>
  </si>
  <si>
    <t>Bidang I Pemerintahan Desa</t>
  </si>
  <si>
    <t>Bidang II Pembangunan Desa</t>
  </si>
  <si>
    <t>Bidang III Pembinaan Kemasyarakatan Desa</t>
  </si>
  <si>
    <t>Bidang IV Pemberdayaan Kemasyarakatan Desa</t>
  </si>
  <si>
    <t>Bidang V Belanja Tak Terduga</t>
  </si>
  <si>
    <t>Total Belanja</t>
  </si>
  <si>
    <t>Produk Hukum</t>
  </si>
  <si>
    <t>Peraturan Desa</t>
  </si>
  <si>
    <t>Peraturan Perbekel</t>
  </si>
  <si>
    <t>Surat Keputusan Perbekel</t>
  </si>
  <si>
    <t>Tabel VI. Jenis Penyakit dan Jumlah Penderita di Desa Sanur Kaja Tahun 2024</t>
  </si>
  <si>
    <t>No</t>
  </si>
  <si>
    <t>Jenis Penyakit</t>
  </si>
  <si>
    <t>Jumlah Penderita</t>
  </si>
  <si>
    <t>Di Rawat di</t>
  </si>
  <si>
    <t>Hipertensi</t>
  </si>
  <si>
    <t>Diabetes Militus</t>
  </si>
  <si>
    <t>Gangguan Pencernaan (dyspepsia)</t>
  </si>
  <si>
    <t>Persendian (myalgia)</t>
  </si>
  <si>
    <t>Commond Cold (Batuk Pilek)</t>
  </si>
  <si>
    <t>Demam Berdarah</t>
  </si>
  <si>
    <t>Diare</t>
  </si>
  <si>
    <t>Gangguan Jiwa</t>
  </si>
  <si>
    <t>Struk</t>
  </si>
  <si>
    <t>Gangguan Jantung</t>
  </si>
  <si>
    <t>Data Prodeskel (Perkembangan Desa)</t>
  </si>
  <si>
    <t>Data yang tersedia</t>
  </si>
  <si>
    <t>Data series tersedia</t>
  </si>
  <si>
    <t>Perkembangan penduduk</t>
  </si>
  <si>
    <t>Jumlah penduduk</t>
  </si>
  <si>
    <t>Jumlah penduduk menurut jenis kelamin</t>
  </si>
  <si>
    <t>Jumlah keluarga (2021 - 2022)</t>
  </si>
  <si>
    <t>Ekonomi Masyarakat</t>
  </si>
  <si>
    <t>Pengangguran (2021 - 2023)</t>
  </si>
  <si>
    <t>Kesejahteraan keluarga (2021 - 2023)</t>
  </si>
  <si>
    <t>Produk domestik desa/kelurahan bruto (2021 - 2023)</t>
  </si>
  <si>
    <t>Sektor pertambangan dan galian</t>
  </si>
  <si>
    <t>Subsektor kerajinan</t>
  </si>
  <si>
    <t>Sektor industri pengolahan</t>
  </si>
  <si>
    <t>Subsektor kehutanan</t>
  </si>
  <si>
    <t>Sektor perdagangan, hotel, dan restoran</t>
  </si>
  <si>
    <t>Sektor bangunan/konstruksi</t>
  </si>
  <si>
    <t>Sektor keuangan - jasa perusahaan</t>
  </si>
  <si>
    <t>Sektor jasa-jasa</t>
  </si>
  <si>
    <t>Sektor angkutan dan komunikasi</t>
  </si>
  <si>
    <t>Sektor listrik, gas, dan air minum</t>
  </si>
  <si>
    <t>Pendapatan perkapita</t>
  </si>
  <si>
    <t>Pendapatan perkapita menurut sektor usaha (2021 - 2023)</t>
  </si>
  <si>
    <t>Pendapatan rill keluarga (2021 - 2023)</t>
  </si>
  <si>
    <t>Struktur mata pencaharian menurut sektor (2021 - 2023)</t>
  </si>
  <si>
    <t>Sektor pertanian</t>
  </si>
  <si>
    <t>Sektor perkebunan</t>
  </si>
  <si>
    <t>Sektor peternakan</t>
  </si>
  <si>
    <t>Sektor perikanan</t>
  </si>
  <si>
    <t>Sektor kehutanan</t>
  </si>
  <si>
    <t>Sektor industri kecil dan kerajinan RT</t>
  </si>
  <si>
    <t>Sektor industri menengah dan besar</t>
  </si>
  <si>
    <t>Sektor jasa</t>
  </si>
  <si>
    <t>Penguasaan aset ekonomi masyarakat</t>
  </si>
  <si>
    <t>A. Aset tanah (2021 - 2022)</t>
  </si>
  <si>
    <t>B. Aset sarana transportasi umum (2021 - 2023)</t>
  </si>
  <si>
    <t>C. Aset sarana produksi (2021 - 2023)</t>
  </si>
  <si>
    <t>D. Aset perumahan (2021 - 2022)</t>
  </si>
  <si>
    <t>Rumah menurut dinding</t>
  </si>
  <si>
    <t>Rumah menurut atap</t>
  </si>
  <si>
    <t>Rumah menurut lantai</t>
  </si>
  <si>
    <t>E. Pemilikan aset ekonomi lainnya (2021 - 2023)</t>
  </si>
  <si>
    <t>Pendidikan masyarakat</t>
  </si>
  <si>
    <t>A. Tingkat pendidikan penduduk (2021 - 2023)</t>
  </si>
  <si>
    <t>B. Wajib belajar 9 tahun (2021 - 2022)</t>
  </si>
  <si>
    <t>C. Rasio guru dan murid (2021 - 2023)</t>
  </si>
  <si>
    <t>D. Kelembagaan pendidikan masyarakat (2021 - 2022)</t>
  </si>
  <si>
    <t>Kesehatan masyarakat</t>
  </si>
  <si>
    <t>A. Kualitas ibu hamil (2021 - 2023)</t>
  </si>
  <si>
    <t>B. Kualitas bayi (2021 - 2023)</t>
  </si>
  <si>
    <t>C. Kualitas persalinan (2021 - 2022)</t>
  </si>
  <si>
    <t>D. Cakupan imunisasi (2021 - 2023)</t>
  </si>
  <si>
    <t>E. Perkembangan pasangan usia subur dan kb (2021 - 2023)</t>
  </si>
  <si>
    <t>F. Wabah penyakit</t>
  </si>
  <si>
    <t>G. Angka harapan hidup (2021 - 2023)</t>
  </si>
  <si>
    <t>H. Cakupan pemenuhan kebutuhan air bersih (2021 - 2023)</t>
  </si>
  <si>
    <t>I. Perilaku hidup bersih dan sehat (2021 - 2023)</t>
  </si>
  <si>
    <t>J. Status gizi balita (2021 - 2023)</t>
  </si>
  <si>
    <t>K. Jumlah penderita sakit tahun ini (2021 - 2023)</t>
  </si>
  <si>
    <t>L. Perkembangan sarana dan prasarana kesehatan masyarakat (2021 - 2023)</t>
  </si>
  <si>
    <t>Keamanan dan ketertiban (2021 - 2023)</t>
  </si>
  <si>
    <t>Kedaulatan politik masyarakat (2021 - 2023)</t>
  </si>
  <si>
    <t>Lembaga kemasyarakatan</t>
  </si>
  <si>
    <t>A. Lembaga kemasyarakatan desa/kelurahan</t>
  </si>
  <si>
    <t>B. Organisasi anggota lembaga kemasyarakatan (2021 - 2023)</t>
  </si>
  <si>
    <t>Pemerintahan desa dan kelurahan</t>
  </si>
  <si>
    <t>A. APB-Desa dan anggaran kelurahan</t>
  </si>
  <si>
    <t>B. Pertanggungjawaban kepala desa/lurah</t>
  </si>
  <si>
    <t>C. Prasarana dan administrasi pemerintahan desa/kelurahan pemerintah desa/kelurahan (2021 - 2023)</t>
  </si>
  <si>
    <t>D. Pembinaan dan pengawasan (2021 - 2023)</t>
  </si>
  <si>
    <t>Pembinaan pemerintah pusat</t>
  </si>
  <si>
    <t>Pembinaan pemerintah provinsi</t>
  </si>
  <si>
    <t>Pembinaan pemerintah kabupaten/kota</t>
  </si>
  <si>
    <t>Pembinaan dan pengawasan camat</t>
  </si>
  <si>
    <t>Data di luar perkembangan desa prodeskel</t>
  </si>
  <si>
    <t>Jumlah penduduk menurut status perkawinan (2021 - 2023)</t>
  </si>
  <si>
    <t>Jumlah penduduk desa menurut dusun (2021 - 2023)</t>
  </si>
  <si>
    <t>Jumlah penduduk menurut Agama/aliran kepercayaan (2021 - 2023)</t>
  </si>
  <si>
    <t>Jumlah penduduk menurut jenis pekerjaan (2021 - 2023)</t>
  </si>
  <si>
    <t>Jumlah produk hukum di dangin puri kangin -&gt; perdes, perkel, surat keputusan (2021 - 2023)</t>
  </si>
  <si>
    <t>Luas daerah menurut dusun/lingkungan (Ha)</t>
  </si>
  <si>
    <t>Jumlah keluarga penerima jaring pengaman sosial (JPS) menurut jenisnya -&gt; BLT desa, BPNT, BST, PKH (2021 - 2023)</t>
  </si>
  <si>
    <t>Pendapatan asli desa (PAD) (rupiah)</t>
  </si>
  <si>
    <t>data yang tersedia dalam KCA</t>
  </si>
  <si>
    <t>jumlah hotel, penginapan</t>
  </si>
  <si>
    <t>prasarana dan sarana transportasi antar desa</t>
  </si>
  <si>
    <t>keberadaan kantor pos, pos keliling, perusahaan ekspedisi swasta</t>
  </si>
  <si>
    <t>jumlah menara telepon seluler dan operator layanan komunnikasi telepon seluler</t>
  </si>
  <si>
    <t>kekuatan dan jenis sinyal internet telepon seluler</t>
  </si>
  <si>
    <t>banyaknya sarana lembaga keuangan bank</t>
  </si>
  <si>
    <t>banyaknya koperasi aktif</t>
  </si>
  <si>
    <t>banyaknya sarana perdagangan (pertokoan, pasar, minimarket, restoran)</t>
  </si>
  <si>
    <t>Data:</t>
  </si>
  <si>
    <t>Data</t>
  </si>
  <si>
    <t>Sumber Data</t>
  </si>
  <si>
    <t>Pembagian</t>
  </si>
  <si>
    <t>Selesai</t>
  </si>
  <si>
    <t>Data perkembangan desa</t>
  </si>
  <si>
    <t>https://docs.google.com/spreadsheets/d/1-pw_upsAFcIibg27UsIzUula599rO1Zcim8fNpq8IU8/edit?usp=sharing</t>
  </si>
  <si>
    <t>Apakah tersedia data-data dibawah ini?</t>
  </si>
  <si>
    <t>Data Potensi Desa</t>
  </si>
  <si>
    <t>https://docs.google.com/spreadsheets/d/1eqhsHZovBwD9LPcTI8cxCpLWRGWT0bVBFsWEw22UVPc/edit?usp=sharing</t>
  </si>
  <si>
    <t>Ya</t>
  </si>
  <si>
    <t>Perkembangan Desa</t>
  </si>
  <si>
    <t>I.A</t>
  </si>
  <si>
    <t>Adit</t>
  </si>
  <si>
    <t>Judul tabel</t>
  </si>
  <si>
    <t>Seperti aturan tabel dinamis BPS</t>
  </si>
  <si>
    <t>Potensi Desa</t>
  </si>
  <si>
    <t>II.A</t>
  </si>
  <si>
    <t>Jumlah keluarga</t>
  </si>
  <si>
    <t>I.B</t>
  </si>
  <si>
    <t>Tabel</t>
  </si>
  <si>
    <t>https://docs.google.com/spreadsheets/d/1FstSp4Q4hYv-02mWMDDSDCctgRlFZmLgk7AEvpsmxgc/edit?hl=id&amp;gid=757615016#gid=757615016</t>
  </si>
  <si>
    <t>Jumlah kepala keluarga</t>
  </si>
  <si>
    <t>Sumber</t>
  </si>
  <si>
    <t>KCA (kemendagri)</t>
  </si>
  <si>
    <t>Jumlah penduduk menurut usia (2022 - 2023)</t>
  </si>
  <si>
    <t>II.B</t>
  </si>
  <si>
    <t>Kepadatan penduduk</t>
  </si>
  <si>
    <t>Pengangguran</t>
  </si>
  <si>
    <t>Kesejahteraan keluarga</t>
  </si>
  <si>
    <t>Tenaga kerja</t>
  </si>
  <si>
    <t>II.I</t>
  </si>
  <si>
    <t>Mb Ria</t>
  </si>
  <si>
    <t>Kualitas angkatan kerja</t>
  </si>
  <si>
    <t>II.J</t>
  </si>
  <si>
    <t>XIII.A</t>
  </si>
  <si>
    <t>C. Prasarana dan administrasi pemerintahan desa/kelurahan pemerintah desa/kelurahan</t>
  </si>
  <si>
    <t>XIII.C</t>
  </si>
  <si>
    <t>D. Pembinaan dan pengawasan</t>
  </si>
  <si>
    <t>XIII.D</t>
  </si>
  <si>
    <t>Agama/aliran kepercayaan (2022 - 2023)</t>
  </si>
  <si>
    <t>II.E</t>
  </si>
  <si>
    <t>Pendapatan rill keluarga</t>
  </si>
  <si>
    <t>IV.B</t>
  </si>
  <si>
    <t>Kak edy</t>
  </si>
  <si>
    <t>Struktur mata pencaharian menurut sektor</t>
  </si>
  <si>
    <t>Mata pencaharian pokok (2022 - 2023)</t>
  </si>
  <si>
    <t>II.D</t>
  </si>
  <si>
    <t>A. Aset tanah</t>
  </si>
  <si>
    <t>VI.A</t>
  </si>
  <si>
    <t>D. Aset perumahan</t>
  </si>
  <si>
    <t>VI.D</t>
  </si>
  <si>
    <t>E. Pemilikan aset ekonomi lainnya</t>
  </si>
  <si>
    <t>VII</t>
  </si>
  <si>
    <t>A. Tingkat pendidikan penduduk</t>
  </si>
  <si>
    <t>VIII.A</t>
  </si>
  <si>
    <t>Mbak Tia</t>
  </si>
  <si>
    <t>B. Wajib belajar 9 tahun</t>
  </si>
  <si>
    <t>VIII.B</t>
  </si>
  <si>
    <t>C. Rasio guru dan murid</t>
  </si>
  <si>
    <t>VIII.C</t>
  </si>
  <si>
    <t>D. Kelembagaan pendidikan masyarakat</t>
  </si>
  <si>
    <t>VIII.D</t>
  </si>
  <si>
    <t>Pendidikan menurut jenis kelamin (2022 - 2023)</t>
  </si>
  <si>
    <t>II.C</t>
  </si>
  <si>
    <t>Lembaga pendidikan (2021 - 2022)</t>
  </si>
  <si>
    <t>III.E</t>
  </si>
  <si>
    <t>A. Kualitas ibu hamil</t>
  </si>
  <si>
    <t>IX.A</t>
  </si>
  <si>
    <t>Mb Novel</t>
  </si>
  <si>
    <t>B. Kualitas bayi</t>
  </si>
  <si>
    <t>IX.B</t>
  </si>
  <si>
    <t>C. Kualitas persalinan</t>
  </si>
  <si>
    <t>IX.C</t>
  </si>
  <si>
    <t>D. Cakupan imunisasi</t>
  </si>
  <si>
    <t>IX.D</t>
  </si>
  <si>
    <t>E. Perkembangan pasangan usia subur dan kb</t>
  </si>
  <si>
    <t>IX.E</t>
  </si>
  <si>
    <t>G. Angka harapan hidup</t>
  </si>
  <si>
    <t>IX.G</t>
  </si>
  <si>
    <t>H. Cakupan pemenuhan kebutuhan air bersih</t>
  </si>
  <si>
    <t>IX.H</t>
  </si>
  <si>
    <t>Zahra</t>
  </si>
  <si>
    <t>Prasarana air bersih dan sanitasi</t>
  </si>
  <si>
    <t>IV.C</t>
  </si>
  <si>
    <t>I. Perilaku hidup bersih dan sehat</t>
  </si>
  <si>
    <t>IX.I</t>
  </si>
  <si>
    <t>J. Status gizi balita</t>
  </si>
  <si>
    <t>IX.J</t>
  </si>
  <si>
    <t>L. Perkembangan sarana dan prasarana kesehatan masyarakat</t>
  </si>
  <si>
    <t>IX.L</t>
  </si>
  <si>
    <t>Keamanan dan ketertiban</t>
  </si>
  <si>
    <t>X</t>
  </si>
  <si>
    <t>Kedaulatan politik masyarakat</t>
  </si>
  <si>
    <t>XI</t>
  </si>
  <si>
    <t>Tingkat partisipasi politik</t>
  </si>
  <si>
    <t>III.C</t>
  </si>
  <si>
    <t>Opsi data yang bisa ditampilkan dalam website</t>
  </si>
  <si>
    <t>Jumlah penduduk menurut status perkawinan</t>
  </si>
  <si>
    <t>Jumlah penduduk desa menurut dusun</t>
  </si>
  <si>
    <t>Jumlah produk hukum di dangin puri kangin -&gt; perdes, perkel, surat keputusan</t>
  </si>
  <si>
    <t>APBDesa Dangin Puri Kangin (rupiah)</t>
  </si>
  <si>
    <t>Jumlah keluarga penerima jaring pengaman sosial (JPS) menurut jenisnya -&gt; BLT desa, BPNT, BST, PKH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</si>
</sst>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_);_(@_)"/>
    <numFmt numFmtId="165" formatCode="&quot;$&quot;#,##0.00"/>
  </numFmts>
  <fonts count="2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Times New Roman"/>
    </font>
    <font>
      <sz val="10.0"/>
      <color rgb="FF000000"/>
      <name val="Arial"/>
    </font>
    <font>
      <b/>
      <sz val="11.0"/>
      <color theme="1"/>
      <name val="Times New Roman"/>
    </font>
    <font>
      <sz val="10.0"/>
      <color rgb="FFFF0000"/>
      <name val="Arial"/>
    </font>
    <font/>
    <font>
      <sz val="11.0"/>
      <color rgb="FF000000"/>
      <name val="Times New Roman"/>
    </font>
    <font>
      <b/>
      <sz val="11.0"/>
      <color rgb="FF000000"/>
      <name val="Times New Roman"/>
    </font>
    <font>
      <color theme="1"/>
      <name val="Arial"/>
      <scheme val="minor"/>
    </font>
    <font>
      <b/>
      <sz val="10.0"/>
      <color rgb="FF000000"/>
      <name val="Arial"/>
    </font>
    <font>
      <sz val="11.0"/>
      <color rgb="FF000000"/>
      <name val="Bookman Old Style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0.0"/>
      <color rgb="FF92D05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u/>
      <sz val="10.0"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1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2" fillId="2" fontId="2" numFmtId="0" xfId="0" applyBorder="1" applyFill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2" fontId="6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3" fillId="0" fontId="2" numFmtId="0" xfId="0" applyAlignment="1" applyBorder="1" applyFont="1">
      <alignment horizontal="right"/>
    </xf>
    <xf borderId="0" fillId="0" fontId="6" numFmtId="0" xfId="0" applyFont="1"/>
    <xf borderId="1" fillId="0" fontId="7" numFmtId="3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0" fillId="0" fontId="2" numFmtId="164" xfId="0" applyFont="1" applyNumberFormat="1"/>
    <xf borderId="2" fillId="3" fontId="1" numFmtId="0" xfId="0" applyBorder="1" applyFill="1" applyFont="1"/>
    <xf borderId="2" fillId="3" fontId="2" numFmtId="0" xfId="0" applyBorder="1" applyFont="1"/>
    <xf borderId="0" fillId="0" fontId="8" numFmtId="0" xfId="0" applyFont="1"/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" fillId="0" fontId="10" numFmtId="3" xfId="0" applyAlignment="1" applyBorder="1" applyFont="1" applyNumberFormat="1">
      <alignment horizontal="center" vertical="center"/>
    </xf>
    <xf borderId="1" fillId="0" fontId="11" numFmtId="3" xfId="0" applyAlignment="1" applyBorder="1" applyFont="1" applyNumberFormat="1">
      <alignment horizontal="center" vertical="center"/>
    </xf>
    <xf borderId="2" fillId="0" fontId="1" numFmtId="0" xfId="0" applyBorder="1" applyFont="1"/>
    <xf borderId="2" fillId="0" fontId="2" numFmtId="0" xfId="0" applyBorder="1" applyFont="1"/>
    <xf borderId="4" fillId="0" fontId="1" numFmtId="0" xfId="0" applyAlignment="1" applyBorder="1" applyFont="1">
      <alignment horizontal="center" vertical="center"/>
    </xf>
    <xf borderId="0" fillId="4" fontId="12" numFmtId="0" xfId="0" applyFill="1" applyFont="1"/>
    <xf borderId="1" fillId="0" fontId="6" numFmtId="0" xfId="0" applyAlignment="1" applyBorder="1" applyFont="1">
      <alignment readingOrder="0"/>
    </xf>
    <xf borderId="0" fillId="4" fontId="2" numFmtId="0" xfId="0" applyFont="1"/>
    <xf borderId="1" fillId="0" fontId="13" numFmtId="0" xfId="0" applyBorder="1" applyFont="1"/>
    <xf borderId="1" fillId="0" fontId="1" numFmtId="0" xfId="0" applyAlignment="1" applyBorder="1" applyFont="1">
      <alignment readingOrder="0"/>
    </xf>
    <xf borderId="0" fillId="0" fontId="2" numFmtId="3" xfId="0" applyFont="1" applyNumberFormat="1"/>
    <xf borderId="0" fillId="0" fontId="12" numFmtId="3" xfId="0" applyFont="1" applyNumberFormat="1"/>
    <xf borderId="0" fillId="0" fontId="12" numFmtId="0" xfId="0" applyAlignment="1" applyFont="1">
      <alignment readingOrder="0"/>
    </xf>
    <xf borderId="1" fillId="0" fontId="1" numFmtId="0" xfId="0" applyAlignment="1" applyBorder="1" applyFont="1">
      <alignment vertical="center"/>
    </xf>
    <xf borderId="0" fillId="2" fontId="12" numFmtId="0" xfId="0" applyFont="1"/>
    <xf borderId="0" fillId="0" fontId="14" numFmtId="0" xfId="0" applyFont="1"/>
    <xf borderId="0" fillId="2" fontId="2" numFmtId="0" xfId="0" applyFont="1"/>
    <xf borderId="1" fillId="5" fontId="7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8" fillId="0" fontId="10" numFmtId="0" xfId="0" applyBorder="1" applyFont="1"/>
    <xf borderId="10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3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/>
    </xf>
    <xf borderId="11" fillId="0" fontId="10" numFmtId="0" xfId="0" applyAlignment="1" applyBorder="1" applyFont="1">
      <alignment horizontal="center"/>
    </xf>
    <xf borderId="3" fillId="0" fontId="2" numFmtId="0" xfId="0" applyBorder="1" applyFont="1"/>
    <xf borderId="1" fillId="0" fontId="11" numFmtId="0" xfId="0" applyAlignment="1" applyBorder="1" applyFont="1">
      <alignment horizontal="center"/>
    </xf>
    <xf borderId="2" fillId="3" fontId="6" numFmtId="0" xfId="0" applyBorder="1" applyFont="1"/>
    <xf borderId="4" fillId="0" fontId="15" numFmtId="0" xfId="0" applyAlignment="1" applyBorder="1" applyFont="1">
      <alignment horizontal="center"/>
    </xf>
    <xf borderId="5" fillId="0" fontId="15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vertical="bottom"/>
    </xf>
    <xf borderId="1" fillId="0" fontId="16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horizontal="right" readingOrder="0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right" vertical="bottom"/>
    </xf>
    <xf borderId="0" fillId="0" fontId="13" numFmtId="0" xfId="0" applyFont="1"/>
    <xf borderId="1" fillId="0" fontId="13" numFmtId="0" xfId="0" applyAlignment="1" applyBorder="1" applyFont="1">
      <alignment horizontal="center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0" fillId="6" fontId="12" numFmtId="0" xfId="0" applyAlignment="1" applyFill="1" applyFont="1">
      <alignment readingOrder="0"/>
    </xf>
    <xf borderId="4" fillId="0" fontId="17" numFmtId="0" xfId="0" applyAlignment="1" applyBorder="1" applyFont="1">
      <alignment readingOrder="0" shrinkToFit="0" vertical="center" wrapText="0"/>
    </xf>
    <xf borderId="1" fillId="0" fontId="17" numFmtId="0" xfId="0" applyAlignment="1" applyBorder="1" applyFont="1">
      <alignment readingOrder="0"/>
    </xf>
    <xf borderId="1" fillId="0" fontId="17" numFmtId="0" xfId="0" applyBorder="1" applyFont="1"/>
    <xf borderId="1" fillId="6" fontId="17" numFmtId="0" xfId="0" applyAlignment="1" applyBorder="1" applyFont="1">
      <alignment readingOrder="0"/>
    </xf>
    <xf borderId="1" fillId="6" fontId="17" numFmtId="0" xfId="0" applyBorder="1" applyFont="1"/>
    <xf borderId="1" fillId="0" fontId="12" numFmtId="0" xfId="0" applyAlignment="1" applyBorder="1" applyFont="1">
      <alignment readingOrder="0"/>
    </xf>
    <xf borderId="1" fillId="6" fontId="12" numFmtId="0" xfId="0" applyAlignment="1" applyBorder="1" applyFont="1">
      <alignment readingOrder="0"/>
    </xf>
    <xf borderId="1" fillId="0" fontId="12" numFmtId="0" xfId="0" applyBorder="1" applyFont="1"/>
    <xf borderId="2" fillId="3" fontId="2" numFmtId="0" xfId="0" applyAlignment="1" applyBorder="1" applyFont="1">
      <alignment horizontal="center"/>
    </xf>
    <xf borderId="5" fillId="0" fontId="1" numFmtId="0" xfId="0" applyBorder="1" applyFont="1"/>
    <xf borderId="7" fillId="0" fontId="1" numFmtId="0" xfId="0" applyAlignment="1" applyBorder="1" applyFont="1">
      <alignment horizontal="center"/>
    </xf>
    <xf borderId="5" fillId="0" fontId="2" numFmtId="0" xfId="0" applyBorder="1" applyFont="1"/>
    <xf borderId="7" fillId="0" fontId="2" numFmtId="0" xfId="0" applyAlignment="1" applyBorder="1" applyFont="1">
      <alignment horizontal="center"/>
    </xf>
    <xf borderId="0" fillId="4" fontId="12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0" fillId="4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2" fontId="18" numFmtId="0" xfId="0" applyBorder="1" applyFont="1"/>
    <xf borderId="0" fillId="7" fontId="12" numFmtId="0" xfId="0" applyFill="1" applyFont="1"/>
    <xf borderId="1" fillId="0" fontId="1" numFmtId="4" xfId="0" applyAlignment="1" applyBorder="1" applyFont="1" applyNumberFormat="1">
      <alignment horizontal="center" readingOrder="0"/>
    </xf>
    <xf borderId="0" fillId="7" fontId="2" numFmtId="165" xfId="0" applyFont="1" applyNumberFormat="1"/>
    <xf borderId="1" fillId="0" fontId="1" numFmtId="4" xfId="0" applyAlignment="1" applyBorder="1" applyFont="1" applyNumberFormat="1">
      <alignment horizontal="center"/>
    </xf>
    <xf borderId="0" fillId="0" fontId="2" numFmtId="4" xfId="0" applyAlignment="1" applyFont="1" applyNumberFormat="1">
      <alignment horizont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3" fillId="3" fontId="2" numFmtId="0" xfId="0" applyBorder="1" applyFont="1"/>
    <xf borderId="13" fillId="3" fontId="2" numFmtId="0" xfId="0" applyAlignment="1" applyBorder="1" applyFont="1">
      <alignment horizontal="center"/>
    </xf>
    <xf borderId="0" fillId="0" fontId="19" numFmtId="0" xfId="0" applyAlignment="1" applyFont="1">
      <alignment readingOrder="0" shrinkToFit="0" vertical="bottom" wrapText="0"/>
    </xf>
    <xf borderId="1" fillId="0" fontId="20" numFmtId="0" xfId="0" applyAlignment="1" applyBorder="1" applyFont="1">
      <alignment readingOrder="0"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0" fillId="0" fontId="21" numFmtId="0" xfId="0" applyFont="1"/>
    <xf borderId="0" fillId="0" fontId="22" numFmtId="0" xfId="0" applyAlignment="1" applyFont="1">
      <alignment horizontal="center"/>
    </xf>
    <xf borderId="0" fillId="0" fontId="22" numFmtId="0" xfId="0" applyFont="1"/>
    <xf borderId="2" fillId="8" fontId="22" numFmtId="0" xfId="0" applyBorder="1" applyFill="1" applyFont="1"/>
    <xf borderId="0" fillId="0" fontId="21" numFmtId="0" xfId="0" applyAlignment="1" applyFont="1">
      <alignment horizontal="right"/>
    </xf>
    <xf borderId="0" fillId="0" fontId="21" numFmtId="10" xfId="0" applyAlignment="1" applyFont="1" applyNumberFormat="1">
      <alignment horizontal="right"/>
    </xf>
    <xf borderId="0" fillId="0" fontId="2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1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1" numFmtId="0" xfId="0" applyAlignment="1" applyFont="1">
      <alignment horizontal="center"/>
    </xf>
    <xf borderId="0" fillId="0" fontId="2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3" numFmtId="0" xfId="0" applyFont="1"/>
    <xf borderId="2" fillId="8" fontId="22" numFmtId="0" xfId="0" applyAlignment="1" applyBorder="1" applyFont="1">
      <alignment shrinkToFit="0" wrapText="1"/>
    </xf>
    <xf borderId="2" fillId="8" fontId="2" numFmtId="0" xfId="0" applyBorder="1" applyFont="1"/>
    <xf borderId="2" fillId="6" fontId="21" numFmtId="0" xfId="0" applyAlignment="1" applyBorder="1" applyFont="1">
      <alignment shrinkToFit="0" wrapText="1"/>
    </xf>
    <xf borderId="2" fillId="9" fontId="22" numFmtId="0" xfId="0" applyAlignment="1" applyBorder="1" applyFill="1" applyFont="1">
      <alignment shrinkToFit="0" wrapText="1"/>
    </xf>
    <xf borderId="2" fillId="9" fontId="2" numFmtId="0" xfId="0" applyBorder="1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30</xdr:row>
      <xdr:rowOff>0</xdr:rowOff>
    </xdr:from>
    <xdr:ext cx="581025" cy="2381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468850" cy="81534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17468850" cy="6267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pw_upsAFcIibg27UsIzUula599rO1Zcim8fNpq8IU8/edit?usp=sharing" TargetMode="External"/><Relationship Id="rId2" Type="http://schemas.openxmlformats.org/officeDocument/2006/relationships/hyperlink" Target="https://docs.google.com/spreadsheets/d/1eqhsHZovBwD9LPcTI8cxCpLWRGWT0bVBFsWEw22UVPc/edit?usp=sharing" TargetMode="External"/><Relationship Id="rId3" Type="http://schemas.openxmlformats.org/officeDocument/2006/relationships/hyperlink" Target="https://docs.google.com/spreadsheets/d/1FstSp4Q4hYv-02mWMDDSDCctgRlFZmLgk7AEvpsmxgc/edit?hl=id&amp;gid=757615016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83.13"/>
    <col customWidth="1" min="3" max="26" width="12.5"/>
  </cols>
  <sheetData>
    <row r="1" ht="15.0" customHeight="1">
      <c r="A1" s="1" t="s">
        <v>0</v>
      </c>
    </row>
    <row r="3" ht="15.0" customHeight="1">
      <c r="A3" s="2" t="s">
        <v>1</v>
      </c>
      <c r="B3" s="2" t="s">
        <v>2</v>
      </c>
    </row>
    <row r="4" ht="15.0" customHeight="1">
      <c r="A4" s="2"/>
      <c r="B4" s="2" t="s">
        <v>3</v>
      </c>
    </row>
    <row r="5" ht="15.0" customHeight="1">
      <c r="A5" s="2" t="s">
        <v>4</v>
      </c>
      <c r="B5" s="2" t="s">
        <v>5</v>
      </c>
    </row>
    <row r="6" ht="15.0" customHeight="1">
      <c r="A6" s="2"/>
      <c r="B6" s="2" t="s">
        <v>6</v>
      </c>
    </row>
    <row r="7" ht="15.0" customHeight="1">
      <c r="A7" s="2"/>
      <c r="B7" s="2" t="s">
        <v>7</v>
      </c>
    </row>
    <row r="8" ht="15.0" customHeight="1">
      <c r="A8" s="2"/>
      <c r="B8" s="2" t="s">
        <v>8</v>
      </c>
    </row>
    <row r="9" ht="15.0" customHeight="1">
      <c r="A9" s="2"/>
      <c r="B9" s="2" t="s">
        <v>9</v>
      </c>
    </row>
    <row r="10" ht="15.0" customHeight="1">
      <c r="A10" s="2"/>
      <c r="B10" s="2" t="s">
        <v>10</v>
      </c>
    </row>
    <row r="11" ht="15.0" customHeight="1">
      <c r="A11" s="2"/>
      <c r="B11" s="3" t="s">
        <v>11</v>
      </c>
    </row>
    <row r="12" ht="15.0" customHeight="1">
      <c r="A12" s="2"/>
      <c r="B12" s="2" t="s">
        <v>12</v>
      </c>
    </row>
    <row r="13" ht="15.0" customHeight="1">
      <c r="A13" s="2"/>
      <c r="B13" s="2" t="s">
        <v>13</v>
      </c>
    </row>
    <row r="14" ht="15.0" customHeight="1">
      <c r="A14" s="2"/>
      <c r="B14" s="3" t="s">
        <v>14</v>
      </c>
    </row>
    <row r="15" ht="15.0" customHeight="1">
      <c r="A15" s="2" t="s">
        <v>15</v>
      </c>
      <c r="B15" s="2" t="s">
        <v>16</v>
      </c>
    </row>
    <row r="16" ht="15.0" customHeight="1">
      <c r="A16" s="2"/>
      <c r="B16" s="2" t="s">
        <v>17</v>
      </c>
    </row>
    <row r="17" ht="15.0" customHeight="1">
      <c r="A17" s="2"/>
      <c r="B17" s="2" t="s">
        <v>18</v>
      </c>
    </row>
    <row r="18" ht="15.0" customHeight="1">
      <c r="A18" s="2"/>
      <c r="B18" s="2" t="s">
        <v>19</v>
      </c>
    </row>
    <row r="19" ht="15.0" customHeight="1">
      <c r="A19" s="2" t="s">
        <v>20</v>
      </c>
      <c r="B19" s="2" t="s">
        <v>21</v>
      </c>
    </row>
    <row r="20" ht="15.0" customHeight="1">
      <c r="A20" s="2"/>
      <c r="B20" s="3" t="s">
        <v>22</v>
      </c>
    </row>
    <row r="21" ht="15.0" customHeight="1">
      <c r="A21" s="2"/>
      <c r="B21" s="3" t="s">
        <v>23</v>
      </c>
    </row>
    <row r="22" ht="15.0" customHeight="1">
      <c r="A22" s="2"/>
      <c r="B22" s="3" t="s">
        <v>24</v>
      </c>
    </row>
    <row r="23" ht="15.0" customHeight="1">
      <c r="A23" s="2" t="s">
        <v>25</v>
      </c>
      <c r="B23" s="2" t="s">
        <v>26</v>
      </c>
    </row>
    <row r="24" ht="15.0" customHeight="1">
      <c r="A24" s="2"/>
      <c r="B24" s="2" t="s">
        <v>27</v>
      </c>
    </row>
    <row r="25" ht="15.75" customHeight="1">
      <c r="A25" s="2"/>
      <c r="B25" s="3" t="s">
        <v>28</v>
      </c>
    </row>
    <row r="26" ht="15.75" customHeight="1">
      <c r="A26" s="2"/>
      <c r="B26" s="2" t="s">
        <v>29</v>
      </c>
    </row>
    <row r="27" ht="15.75" customHeight="1">
      <c r="A27" s="3" t="s">
        <v>30</v>
      </c>
      <c r="B27" s="2" t="s">
        <v>31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12.13"/>
    <col customWidth="1" min="3" max="3" width="16.63"/>
    <col customWidth="1" min="4" max="4" width="15.88"/>
    <col customWidth="1" min="5" max="5" width="14.63"/>
    <col customWidth="1" min="6" max="6" width="12.5"/>
    <col customWidth="1" min="7" max="26" width="8.88"/>
  </cols>
  <sheetData>
    <row r="1" ht="15.75" customHeight="1">
      <c r="A1" s="1" t="str">
        <f>Data!B4</f>
        <v>Tabel 1.1 Kondisi Geografi dan Iklim di Desa Sanur Kaja</v>
      </c>
      <c r="B1" s="4"/>
      <c r="C1" s="4"/>
      <c r="D1" s="4"/>
      <c r="E1" s="4"/>
    </row>
    <row r="2" ht="15.75" customHeight="1">
      <c r="A2" s="5" t="s">
        <v>32</v>
      </c>
      <c r="B2" s="5" t="s">
        <v>33</v>
      </c>
      <c r="C2" s="6">
        <v>2022.0</v>
      </c>
      <c r="D2" s="6">
        <v>2023.0</v>
      </c>
      <c r="E2" s="6">
        <v>2024.0</v>
      </c>
    </row>
    <row r="3" ht="36.0" customHeight="1">
      <c r="A3" s="3" t="s">
        <v>34</v>
      </c>
      <c r="B3" s="2" t="s">
        <v>35</v>
      </c>
      <c r="C3" s="7">
        <v>269.0</v>
      </c>
      <c r="D3" s="7">
        <v>270.4</v>
      </c>
      <c r="E3" s="7">
        <v>270.4</v>
      </c>
      <c r="F3" s="8"/>
    </row>
    <row r="4" ht="66.0" customHeight="1">
      <c r="A4" s="3" t="s">
        <v>36</v>
      </c>
      <c r="B4" s="2" t="s">
        <v>37</v>
      </c>
      <c r="C4" s="9" t="s">
        <v>38</v>
      </c>
      <c r="D4" s="9" t="s">
        <v>38</v>
      </c>
      <c r="E4" s="9" t="s">
        <v>38</v>
      </c>
      <c r="F4" s="8"/>
    </row>
    <row r="5" ht="36.0" customHeight="1">
      <c r="A5" s="2" t="s">
        <v>39</v>
      </c>
      <c r="B5" s="2" t="s">
        <v>40</v>
      </c>
      <c r="C5" s="10">
        <v>2000.0</v>
      </c>
      <c r="D5" s="10">
        <v>2000.0</v>
      </c>
      <c r="E5" s="10">
        <v>2000.0</v>
      </c>
      <c r="F5" s="8"/>
    </row>
    <row r="6" ht="36.0" customHeight="1">
      <c r="A6" s="2" t="s">
        <v>41</v>
      </c>
      <c r="B6" s="2" t="s">
        <v>42</v>
      </c>
      <c r="C6" s="7">
        <v>30.0</v>
      </c>
      <c r="D6" s="7">
        <v>29.0</v>
      </c>
      <c r="E6" s="7">
        <v>29.0</v>
      </c>
      <c r="F6" s="8"/>
    </row>
    <row r="7" ht="15.75" customHeight="1">
      <c r="A7" s="4" t="s">
        <v>43</v>
      </c>
      <c r="B7" s="4"/>
      <c r="C7" s="4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6.13"/>
    <col customWidth="1" min="2" max="4" width="12.5"/>
    <col customWidth="1" min="5" max="5" width="15.5"/>
    <col customWidth="1" min="6" max="10" width="13.63"/>
    <col customWidth="1" min="11" max="11" width="11.5"/>
    <col customWidth="1" min="12" max="12" width="12.38"/>
    <col customWidth="1" min="13" max="13" width="10.5"/>
    <col customWidth="1" min="14" max="26" width="8.88"/>
  </cols>
  <sheetData>
    <row r="1" ht="15.75" customHeight="1">
      <c r="A1" s="1" t="str">
        <f>Data!B6</f>
        <v>Tabel 2.1 Jumlah Keluarga di Desa Sanur Kaja, 2022-2024 (KK)</v>
      </c>
      <c r="B1" s="4"/>
      <c r="C1" s="4"/>
      <c r="D1" s="4"/>
    </row>
    <row r="2" ht="15.75" customHeight="1">
      <c r="A2" s="5"/>
      <c r="B2" s="11">
        <v>2022.0</v>
      </c>
      <c r="C2" s="11">
        <v>2023.0</v>
      </c>
      <c r="D2" s="11">
        <v>2024.0</v>
      </c>
    </row>
    <row r="3" ht="15.75" customHeight="1">
      <c r="A3" s="2" t="s">
        <v>44</v>
      </c>
      <c r="B3" s="12">
        <v>1703.0</v>
      </c>
      <c r="C3" s="12">
        <v>1739.0</v>
      </c>
      <c r="D3" s="13">
        <v>1741.0</v>
      </c>
      <c r="E3" s="14"/>
    </row>
    <row r="4" ht="15.75" customHeight="1">
      <c r="A4" s="15" t="s">
        <v>43</v>
      </c>
      <c r="B4" s="16"/>
      <c r="C4" s="16"/>
      <c r="D4" s="16"/>
    </row>
    <row r="5" ht="15.75" customHeight="1">
      <c r="B5" s="16"/>
      <c r="C5" s="16"/>
      <c r="D5" s="16"/>
    </row>
    <row r="6" ht="10.5" customHeight="1">
      <c r="A6" s="1"/>
      <c r="B6" s="16"/>
      <c r="C6" s="16"/>
      <c r="D6" s="16"/>
    </row>
    <row r="7" ht="15.75" customHeight="1">
      <c r="A7" s="1" t="str">
        <f>Data!B7</f>
        <v>Tabel 2.2 Jumlah Penduduk Desa Sanur Kaja Menurut Jenis Kelamin, 2022-2024 (jiwa)</v>
      </c>
      <c r="B7" s="16"/>
      <c r="C7" s="16"/>
      <c r="D7" s="16"/>
    </row>
    <row r="8" ht="15.75" customHeight="1">
      <c r="A8" s="5" t="s">
        <v>45</v>
      </c>
      <c r="B8" s="11">
        <v>2022.0</v>
      </c>
      <c r="C8" s="11">
        <v>2023.0</v>
      </c>
      <c r="D8" s="11">
        <v>2024.0</v>
      </c>
      <c r="E8" s="17"/>
      <c r="F8" s="18"/>
    </row>
    <row r="9" ht="15.75" customHeight="1">
      <c r="A9" s="2" t="s">
        <v>46</v>
      </c>
      <c r="B9" s="12">
        <v>4201.0</v>
      </c>
      <c r="C9" s="12">
        <v>4172.0</v>
      </c>
      <c r="D9" s="12">
        <v>4171.0</v>
      </c>
      <c r="E9" s="14"/>
    </row>
    <row r="10" ht="15.75" customHeight="1">
      <c r="A10" s="2" t="s">
        <v>47</v>
      </c>
      <c r="B10" s="12">
        <v>3984.0</v>
      </c>
      <c r="C10" s="12">
        <v>3989.0</v>
      </c>
      <c r="D10" s="12">
        <v>3977.0</v>
      </c>
      <c r="E10" s="14"/>
    </row>
    <row r="11" ht="15.75" customHeight="1">
      <c r="A11" s="5" t="s">
        <v>48</v>
      </c>
      <c r="B11" s="19">
        <v>8185.0</v>
      </c>
      <c r="C11" s="19">
        <v>8161.0</v>
      </c>
      <c r="D11" s="19">
        <v>8148.0</v>
      </c>
      <c r="E11" s="14"/>
    </row>
    <row r="12" ht="15.75" customHeight="1">
      <c r="A12" s="4" t="s">
        <v>43</v>
      </c>
      <c r="B12" s="4"/>
      <c r="C12" s="4"/>
      <c r="D12" s="4"/>
    </row>
    <row r="13" ht="18.75" customHeight="1"/>
    <row r="14" ht="17.25" customHeight="1"/>
    <row r="15" ht="15.75" customHeight="1">
      <c r="A15" s="1" t="str">
        <f>Data!B8</f>
        <v>Tabel 2.3 Rasio Jenis Kelamin Penduduk Desa Sanur Kaja, 2022-2024</v>
      </c>
      <c r="B15" s="4"/>
      <c r="C15" s="4"/>
      <c r="D15" s="4"/>
    </row>
    <row r="16" ht="15.75" customHeight="1">
      <c r="A16" s="5"/>
      <c r="B16" s="11">
        <v>2022.0</v>
      </c>
      <c r="C16" s="11">
        <v>2023.0</v>
      </c>
      <c r="D16" s="11">
        <v>2024.0</v>
      </c>
    </row>
    <row r="17" ht="15.75" customHeight="1">
      <c r="A17" s="2" t="s">
        <v>49</v>
      </c>
      <c r="B17" s="20">
        <v>105.44</v>
      </c>
      <c r="C17" s="20">
        <v>104.58</v>
      </c>
      <c r="D17" s="20">
        <v>104.87</v>
      </c>
      <c r="E17" s="14"/>
    </row>
    <row r="18" ht="15.75" customHeight="1">
      <c r="A18" s="4" t="s">
        <v>43</v>
      </c>
      <c r="B18" s="21"/>
      <c r="C18" s="21"/>
      <c r="D18" s="21"/>
    </row>
    <row r="19" ht="15.75" customHeight="1"/>
    <row r="20" ht="13.5" customHeight="1"/>
    <row r="21" ht="15.75" customHeight="1">
      <c r="A21" s="22" t="str">
        <f>Data!B9</f>
        <v>Tabel 2.4 Jumlah Penduduk Desa Sanur Kaja Menurut Dusun dan Jenis Kelamin, 2022-2024</v>
      </c>
      <c r="B21" s="23"/>
      <c r="C21" s="23"/>
      <c r="D21" s="23"/>
      <c r="E21" s="23"/>
      <c r="F21" s="4"/>
      <c r="G21" s="4"/>
      <c r="H21" s="4"/>
      <c r="I21" s="24"/>
      <c r="J21" s="4"/>
    </row>
    <row r="22" ht="15.75" customHeight="1">
      <c r="A22" s="25" t="s">
        <v>50</v>
      </c>
      <c r="B22" s="26">
        <v>2022.0</v>
      </c>
      <c r="C22" s="27"/>
      <c r="D22" s="27"/>
      <c r="E22" s="28"/>
      <c r="F22" s="26">
        <v>2023.0</v>
      </c>
      <c r="G22" s="27"/>
      <c r="H22" s="27"/>
      <c r="I22" s="28"/>
      <c r="J22" s="26">
        <v>2024.0</v>
      </c>
      <c r="K22" s="27"/>
      <c r="L22" s="27"/>
      <c r="M22" s="28"/>
    </row>
    <row r="23" ht="15.75" customHeight="1">
      <c r="A23" s="29"/>
      <c r="B23" s="30" t="s">
        <v>51</v>
      </c>
      <c r="C23" s="30" t="s">
        <v>52</v>
      </c>
      <c r="D23" s="30" t="s">
        <v>47</v>
      </c>
      <c r="E23" s="31" t="s">
        <v>53</v>
      </c>
      <c r="F23" s="11" t="s">
        <v>51</v>
      </c>
      <c r="G23" s="11" t="s">
        <v>52</v>
      </c>
      <c r="H23" s="11" t="s">
        <v>47</v>
      </c>
      <c r="I23" s="26" t="s">
        <v>53</v>
      </c>
      <c r="J23" s="11" t="s">
        <v>51</v>
      </c>
      <c r="K23" s="11" t="s">
        <v>52</v>
      </c>
      <c r="L23" s="11" t="s">
        <v>47</v>
      </c>
      <c r="M23" s="11" t="s">
        <v>53</v>
      </c>
    </row>
    <row r="24" ht="15.75" customHeight="1">
      <c r="A24" s="2" t="s">
        <v>54</v>
      </c>
      <c r="B24" s="2">
        <v>359.0</v>
      </c>
      <c r="C24" s="32">
        <v>908.0</v>
      </c>
      <c r="D24" s="32">
        <v>794.0</v>
      </c>
      <c r="E24" s="33">
        <f t="shared" ref="E24:E31" si="1">SUM(C24:D24)</f>
        <v>1702</v>
      </c>
      <c r="F24" s="32">
        <v>367.0</v>
      </c>
      <c r="G24" s="32">
        <v>917.0</v>
      </c>
      <c r="H24" s="32">
        <v>797.0</v>
      </c>
      <c r="I24" s="33">
        <f t="shared" ref="I24:I31" si="2">SUM(G24:H24)</f>
        <v>1714</v>
      </c>
      <c r="J24" s="32">
        <v>361.0</v>
      </c>
      <c r="K24" s="32">
        <v>913.0</v>
      </c>
      <c r="L24" s="32">
        <v>790.0</v>
      </c>
      <c r="M24" s="32">
        <f t="shared" ref="M24:M31" si="3">SUM(K24:L24)</f>
        <v>1703</v>
      </c>
      <c r="N24" s="14"/>
    </row>
    <row r="25" ht="15.75" customHeight="1">
      <c r="A25" s="2" t="s">
        <v>55</v>
      </c>
      <c r="B25" s="2">
        <v>392.0</v>
      </c>
      <c r="C25" s="32">
        <v>859.0</v>
      </c>
      <c r="D25" s="32">
        <v>875.0</v>
      </c>
      <c r="E25" s="33">
        <f t="shared" si="1"/>
        <v>1734</v>
      </c>
      <c r="F25" s="32">
        <v>410.0</v>
      </c>
      <c r="G25" s="32">
        <v>859.0</v>
      </c>
      <c r="H25" s="32">
        <v>875.0</v>
      </c>
      <c r="I25" s="33">
        <f t="shared" si="2"/>
        <v>1734</v>
      </c>
      <c r="J25" s="32">
        <v>416.0</v>
      </c>
      <c r="K25" s="32">
        <v>866.0</v>
      </c>
      <c r="L25" s="32">
        <v>886.0</v>
      </c>
      <c r="M25" s="32">
        <f t="shared" si="3"/>
        <v>1752</v>
      </c>
      <c r="N25" s="14"/>
    </row>
    <row r="26" ht="15.75" customHeight="1">
      <c r="A26" s="2" t="s">
        <v>56</v>
      </c>
      <c r="B26" s="2">
        <v>228.0</v>
      </c>
      <c r="C26" s="32">
        <v>573.0</v>
      </c>
      <c r="D26" s="32">
        <v>562.0</v>
      </c>
      <c r="E26" s="33">
        <f t="shared" si="1"/>
        <v>1135</v>
      </c>
      <c r="F26" s="34">
        <v>231.0</v>
      </c>
      <c r="G26" s="34">
        <v>573.0</v>
      </c>
      <c r="H26" s="34">
        <v>565.0</v>
      </c>
      <c r="I26" s="33">
        <f t="shared" si="2"/>
        <v>1138</v>
      </c>
      <c r="J26" s="32">
        <v>236.0</v>
      </c>
      <c r="K26" s="32">
        <v>576.0</v>
      </c>
      <c r="L26" s="32">
        <v>565.0</v>
      </c>
      <c r="M26" s="32">
        <f t="shared" si="3"/>
        <v>1141</v>
      </c>
      <c r="N26" s="14"/>
    </row>
    <row r="27" ht="15.75" customHeight="1">
      <c r="A27" s="2" t="s">
        <v>57</v>
      </c>
      <c r="B27" s="2">
        <v>86.0</v>
      </c>
      <c r="C27" s="32">
        <v>307.0</v>
      </c>
      <c r="D27" s="32">
        <v>267.0</v>
      </c>
      <c r="E27" s="33">
        <f t="shared" si="1"/>
        <v>574</v>
      </c>
      <c r="F27" s="32">
        <v>87.0</v>
      </c>
      <c r="G27" s="32">
        <v>302.0</v>
      </c>
      <c r="H27" s="32">
        <v>267.0</v>
      </c>
      <c r="I27" s="33">
        <f t="shared" si="2"/>
        <v>569</v>
      </c>
      <c r="J27" s="32">
        <v>89.0</v>
      </c>
      <c r="K27" s="32">
        <v>304.0</v>
      </c>
      <c r="L27" s="32">
        <v>271.0</v>
      </c>
      <c r="M27" s="32">
        <f t="shared" si="3"/>
        <v>575</v>
      </c>
      <c r="N27" s="14"/>
    </row>
    <row r="28" ht="15.75" customHeight="1">
      <c r="A28" s="2" t="s">
        <v>58</v>
      </c>
      <c r="B28" s="2">
        <v>209.0</v>
      </c>
      <c r="C28" s="32">
        <v>511.0</v>
      </c>
      <c r="D28" s="32">
        <v>498.0</v>
      </c>
      <c r="E28" s="33">
        <f t="shared" si="1"/>
        <v>1009</v>
      </c>
      <c r="F28" s="32">
        <v>212.0</v>
      </c>
      <c r="G28" s="32">
        <v>504.0</v>
      </c>
      <c r="H28" s="32">
        <v>498.0</v>
      </c>
      <c r="I28" s="33">
        <f t="shared" si="2"/>
        <v>1002</v>
      </c>
      <c r="J28" s="32">
        <v>209.0</v>
      </c>
      <c r="K28" s="32">
        <v>502.0</v>
      </c>
      <c r="L28" s="32">
        <v>483.0</v>
      </c>
      <c r="M28" s="32">
        <f t="shared" si="3"/>
        <v>985</v>
      </c>
      <c r="N28" s="14"/>
    </row>
    <row r="29" ht="15.75" customHeight="1">
      <c r="A29" s="2" t="s">
        <v>59</v>
      </c>
      <c r="B29" s="2">
        <v>211.0</v>
      </c>
      <c r="C29" s="32">
        <v>508.0</v>
      </c>
      <c r="D29" s="32">
        <v>477.0</v>
      </c>
      <c r="E29" s="33">
        <f t="shared" si="1"/>
        <v>985</v>
      </c>
      <c r="F29" s="32">
        <v>208.0</v>
      </c>
      <c r="G29" s="32">
        <v>503.0</v>
      </c>
      <c r="H29" s="32">
        <v>476.0</v>
      </c>
      <c r="I29" s="33">
        <f t="shared" si="2"/>
        <v>979</v>
      </c>
      <c r="J29" s="32">
        <v>206.0</v>
      </c>
      <c r="K29" s="32">
        <v>497.0</v>
      </c>
      <c r="L29" s="32">
        <v>469.0</v>
      </c>
      <c r="M29" s="32">
        <f t="shared" si="3"/>
        <v>966</v>
      </c>
      <c r="N29" s="14"/>
    </row>
    <row r="30" ht="15.75" customHeight="1">
      <c r="A30" s="2" t="s">
        <v>60</v>
      </c>
      <c r="B30" s="2">
        <v>159.0</v>
      </c>
      <c r="C30" s="32">
        <v>312.0</v>
      </c>
      <c r="D30" s="32">
        <v>338.0</v>
      </c>
      <c r="E30" s="33">
        <f t="shared" si="1"/>
        <v>650</v>
      </c>
      <c r="F30" s="32">
        <v>163.0</v>
      </c>
      <c r="G30" s="32">
        <v>291.0</v>
      </c>
      <c r="H30" s="32">
        <v>338.0</v>
      </c>
      <c r="I30" s="33">
        <f t="shared" si="2"/>
        <v>629</v>
      </c>
      <c r="J30" s="32">
        <v>163.0</v>
      </c>
      <c r="K30" s="32">
        <v>288.0</v>
      </c>
      <c r="L30" s="32">
        <v>336.0</v>
      </c>
      <c r="M30" s="32">
        <f t="shared" si="3"/>
        <v>624</v>
      </c>
      <c r="N30" s="14"/>
    </row>
    <row r="31" ht="15.75" customHeight="1">
      <c r="A31" s="2" t="s">
        <v>61</v>
      </c>
      <c r="B31" s="2">
        <v>59.0</v>
      </c>
      <c r="C31" s="32">
        <v>223.0</v>
      </c>
      <c r="D31" s="32">
        <v>173.0</v>
      </c>
      <c r="E31" s="33">
        <f t="shared" si="1"/>
        <v>396</v>
      </c>
      <c r="F31" s="32">
        <v>61.0</v>
      </c>
      <c r="G31" s="32">
        <v>223.0</v>
      </c>
      <c r="H31" s="32">
        <v>173.0</v>
      </c>
      <c r="I31" s="33">
        <f t="shared" si="2"/>
        <v>396</v>
      </c>
      <c r="J31" s="32">
        <v>61.0</v>
      </c>
      <c r="K31" s="32">
        <v>225.0</v>
      </c>
      <c r="L31" s="32">
        <v>177.0</v>
      </c>
      <c r="M31" s="32">
        <f t="shared" si="3"/>
        <v>402</v>
      </c>
      <c r="N31" s="14"/>
    </row>
    <row r="32" ht="15.75" customHeight="1">
      <c r="A32" s="5" t="s">
        <v>62</v>
      </c>
      <c r="B32" s="5">
        <f t="shared" ref="B32:M32" si="4">SUM(B24:B31)</f>
        <v>1703</v>
      </c>
      <c r="C32" s="5">
        <f t="shared" si="4"/>
        <v>4201</v>
      </c>
      <c r="D32" s="5">
        <f t="shared" si="4"/>
        <v>3984</v>
      </c>
      <c r="E32" s="5">
        <f t="shared" si="4"/>
        <v>8185</v>
      </c>
      <c r="F32" s="5">
        <f t="shared" si="4"/>
        <v>1739</v>
      </c>
      <c r="G32" s="5">
        <f t="shared" si="4"/>
        <v>4172</v>
      </c>
      <c r="H32" s="5">
        <f t="shared" si="4"/>
        <v>3989</v>
      </c>
      <c r="I32" s="5">
        <f t="shared" si="4"/>
        <v>8161</v>
      </c>
      <c r="J32" s="5">
        <f t="shared" si="4"/>
        <v>1741</v>
      </c>
      <c r="K32" s="5">
        <f t="shared" si="4"/>
        <v>4171</v>
      </c>
      <c r="L32" s="5">
        <f t="shared" si="4"/>
        <v>3977</v>
      </c>
      <c r="M32" s="5">
        <f t="shared" si="4"/>
        <v>8148</v>
      </c>
      <c r="N32" s="14"/>
      <c r="O32" s="18"/>
    </row>
    <row r="33" ht="15.75" customHeight="1">
      <c r="A33" s="4" t="s">
        <v>43</v>
      </c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/>
    <row r="35" ht="12.75" customHeight="1"/>
    <row r="36" ht="15.75" customHeight="1">
      <c r="A36" s="1" t="str">
        <f>Data!B10</f>
        <v>Tabel 2.5 Jumlah Penduduk Desa Sanur Kaja Menurut Agama/Kepercayaan, 2022-2024 (jiwa)</v>
      </c>
      <c r="B36" s="4"/>
      <c r="C36" s="4"/>
      <c r="D36" s="4"/>
    </row>
    <row r="37" ht="15.75" customHeight="1">
      <c r="A37" s="35" t="s">
        <v>63</v>
      </c>
      <c r="B37" s="26">
        <v>2022.0</v>
      </c>
      <c r="C37" s="27"/>
      <c r="D37" s="28"/>
      <c r="E37" s="26">
        <v>2023.0</v>
      </c>
      <c r="F37" s="27"/>
      <c r="G37" s="28"/>
      <c r="H37" s="26">
        <v>2024.0</v>
      </c>
      <c r="I37" s="27"/>
      <c r="J37" s="28"/>
    </row>
    <row r="38" ht="15.75" customHeight="1">
      <c r="A38" s="29"/>
      <c r="B38" s="11" t="s">
        <v>46</v>
      </c>
      <c r="C38" s="11" t="s">
        <v>47</v>
      </c>
      <c r="D38" s="11" t="s">
        <v>53</v>
      </c>
      <c r="E38" s="11" t="s">
        <v>46</v>
      </c>
      <c r="F38" s="11" t="s">
        <v>47</v>
      </c>
      <c r="G38" s="11" t="s">
        <v>53</v>
      </c>
      <c r="H38" s="11" t="s">
        <v>46</v>
      </c>
      <c r="I38" s="11" t="s">
        <v>47</v>
      </c>
      <c r="J38" s="11" t="s">
        <v>53</v>
      </c>
    </row>
    <row r="39" ht="15.75" customHeight="1">
      <c r="A39" s="2" t="s">
        <v>64</v>
      </c>
      <c r="B39" s="36">
        <v>2966.0</v>
      </c>
      <c r="C39" s="36">
        <v>2863.0</v>
      </c>
      <c r="D39" s="12">
        <v>5829.0</v>
      </c>
      <c r="E39" s="12">
        <v>2970.0</v>
      </c>
      <c r="F39" s="12">
        <v>2868.0</v>
      </c>
      <c r="G39" s="12">
        <v>5838.0</v>
      </c>
      <c r="H39" s="12">
        <v>2969.0</v>
      </c>
      <c r="I39" s="12">
        <v>2856.0</v>
      </c>
      <c r="J39" s="12">
        <v>5825.0</v>
      </c>
      <c r="K39" s="14"/>
    </row>
    <row r="40" ht="15.75" customHeight="1">
      <c r="A40" s="2" t="s">
        <v>65</v>
      </c>
      <c r="B40" s="36">
        <v>989.0</v>
      </c>
      <c r="C40" s="36">
        <v>908.0</v>
      </c>
      <c r="D40" s="12">
        <v>1897.0</v>
      </c>
      <c r="E40" s="12">
        <v>956.0</v>
      </c>
      <c r="F40" s="12">
        <v>908.0</v>
      </c>
      <c r="G40" s="12">
        <v>1864.0</v>
      </c>
      <c r="H40" s="12">
        <v>956.0</v>
      </c>
      <c r="I40" s="12">
        <v>908.0</v>
      </c>
      <c r="J40" s="12">
        <v>1864.0</v>
      </c>
      <c r="K40" s="14"/>
    </row>
    <row r="41" ht="15.75" customHeight="1">
      <c r="A41" s="2" t="s">
        <v>66</v>
      </c>
      <c r="B41" s="36">
        <v>151.0</v>
      </c>
      <c r="C41" s="36">
        <v>133.0</v>
      </c>
      <c r="D41" s="13">
        <v>284.0</v>
      </c>
      <c r="E41" s="12">
        <v>151.0</v>
      </c>
      <c r="F41" s="12">
        <v>133.0</v>
      </c>
      <c r="G41" s="13">
        <v>284.0</v>
      </c>
      <c r="H41" s="12">
        <v>151.0</v>
      </c>
      <c r="I41" s="12">
        <v>133.0</v>
      </c>
      <c r="J41" s="13">
        <v>284.0</v>
      </c>
      <c r="K41" s="14"/>
    </row>
    <row r="42" ht="15.75" customHeight="1">
      <c r="A42" s="2" t="s">
        <v>67</v>
      </c>
      <c r="B42" s="36">
        <v>81.0</v>
      </c>
      <c r="C42" s="36">
        <v>64.0</v>
      </c>
      <c r="D42" s="13">
        <v>145.0</v>
      </c>
      <c r="E42" s="12">
        <v>81.0</v>
      </c>
      <c r="F42" s="12">
        <v>64.0</v>
      </c>
      <c r="G42" s="13">
        <v>145.0</v>
      </c>
      <c r="H42" s="12">
        <v>81.0</v>
      </c>
      <c r="I42" s="12">
        <v>64.0</v>
      </c>
      <c r="J42" s="13">
        <v>145.0</v>
      </c>
      <c r="K42" s="14"/>
    </row>
    <row r="43" ht="15.75" customHeight="1">
      <c r="A43" s="2" t="s">
        <v>68</v>
      </c>
      <c r="B43" s="36">
        <v>12.0</v>
      </c>
      <c r="C43" s="36">
        <v>15.0</v>
      </c>
      <c r="D43" s="13">
        <v>27.0</v>
      </c>
      <c r="E43" s="12">
        <v>12.0</v>
      </c>
      <c r="F43" s="12">
        <v>15.0</v>
      </c>
      <c r="G43" s="13">
        <v>27.0</v>
      </c>
      <c r="H43" s="12">
        <v>12.0</v>
      </c>
      <c r="I43" s="12">
        <v>15.0</v>
      </c>
      <c r="J43" s="13">
        <v>27.0</v>
      </c>
      <c r="K43" s="14"/>
    </row>
    <row r="44" ht="15.75" customHeight="1">
      <c r="A44" s="2" t="s">
        <v>69</v>
      </c>
      <c r="B44" s="36">
        <v>2.0</v>
      </c>
      <c r="C44" s="36">
        <v>1.0</v>
      </c>
      <c r="D44" s="13">
        <v>3.0</v>
      </c>
      <c r="E44" s="12">
        <v>2.0</v>
      </c>
      <c r="F44" s="12">
        <v>1.0</v>
      </c>
      <c r="G44" s="13">
        <v>3.0</v>
      </c>
      <c r="H44" s="12">
        <v>2.0</v>
      </c>
      <c r="I44" s="12">
        <v>1.0</v>
      </c>
      <c r="J44" s="13">
        <v>3.0</v>
      </c>
      <c r="K44" s="14"/>
    </row>
    <row r="45" ht="15.75" customHeight="1">
      <c r="A45" s="5" t="s">
        <v>48</v>
      </c>
      <c r="B45" s="37">
        <f t="shared" ref="B45:C45" si="5">SUM(B39:B44)</f>
        <v>4201</v>
      </c>
      <c r="C45" s="37">
        <f t="shared" si="5"/>
        <v>3984</v>
      </c>
      <c r="D45" s="19">
        <v>8185.0</v>
      </c>
      <c r="E45" s="37">
        <f t="shared" ref="E45:F45" si="6">SUM(E39:E44)</f>
        <v>4172</v>
      </c>
      <c r="F45" s="37">
        <f t="shared" si="6"/>
        <v>3989</v>
      </c>
      <c r="G45" s="19">
        <v>8161.0</v>
      </c>
      <c r="H45" s="37">
        <f t="shared" ref="H45:I45" si="7">SUM(H39:H44)</f>
        <v>4171</v>
      </c>
      <c r="I45" s="37">
        <f t="shared" si="7"/>
        <v>3977</v>
      </c>
      <c r="J45" s="19">
        <v>8148.0</v>
      </c>
      <c r="K45" s="14"/>
    </row>
    <row r="46" ht="15.75" customHeight="1">
      <c r="A46" s="4" t="s">
        <v>43</v>
      </c>
      <c r="B46" s="4"/>
      <c r="C46" s="4"/>
      <c r="D46" s="4"/>
    </row>
    <row r="47" ht="15.75" customHeight="1"/>
    <row r="48" ht="15.75" customHeight="1"/>
    <row r="49" ht="15.75" customHeight="1">
      <c r="A49" s="38" t="str">
        <f>Data!B11</f>
        <v>Tabel 2.6 Jumlah Penduduk Desa Sanur Kaja Menurut Kewarganegaraan dan Jenis Kelamin, 2022-2024 (jiwa)</v>
      </c>
      <c r="B49" s="39"/>
      <c r="C49" s="39"/>
      <c r="D49" s="39"/>
      <c r="E49" s="39"/>
      <c r="F49" s="4"/>
      <c r="G49" s="4"/>
      <c r="I49" s="24"/>
    </row>
    <row r="50" ht="15.75" customHeight="1">
      <c r="A50" s="40" t="s">
        <v>70</v>
      </c>
      <c r="B50" s="26">
        <v>2022.0</v>
      </c>
      <c r="C50" s="28"/>
      <c r="D50" s="26">
        <v>2023.0</v>
      </c>
      <c r="E50" s="28"/>
      <c r="F50" s="26">
        <v>2024.0</v>
      </c>
      <c r="G50" s="28"/>
      <c r="H50" s="41"/>
    </row>
    <row r="51" ht="15.75" customHeight="1">
      <c r="A51" s="29"/>
      <c r="B51" s="11" t="s">
        <v>46</v>
      </c>
      <c r="C51" s="11" t="s">
        <v>47</v>
      </c>
      <c r="D51" s="11" t="s">
        <v>46</v>
      </c>
      <c r="E51" s="11" t="s">
        <v>47</v>
      </c>
      <c r="F51" s="11" t="s">
        <v>46</v>
      </c>
      <c r="G51" s="11" t="s">
        <v>47</v>
      </c>
      <c r="H51" s="41"/>
    </row>
    <row r="52" ht="15.75" customHeight="1">
      <c r="A52" s="42" t="s">
        <v>71</v>
      </c>
      <c r="B52" s="3">
        <v>4189.0</v>
      </c>
      <c r="C52" s="3">
        <v>3968.0</v>
      </c>
      <c r="D52" s="3">
        <v>4160.0</v>
      </c>
      <c r="E52" s="3">
        <v>3973.0</v>
      </c>
      <c r="F52" s="3">
        <v>4159.0</v>
      </c>
      <c r="G52" s="3">
        <v>3961.0</v>
      </c>
      <c r="H52" s="43"/>
    </row>
    <row r="53" ht="15.75" customHeight="1">
      <c r="A53" s="42" t="s">
        <v>72</v>
      </c>
      <c r="B53" s="3">
        <v>12.0</v>
      </c>
      <c r="C53" s="3">
        <v>16.0</v>
      </c>
      <c r="D53" s="3">
        <v>12.0</v>
      </c>
      <c r="E53" s="3">
        <v>16.0</v>
      </c>
      <c r="F53" s="3">
        <v>12.0</v>
      </c>
      <c r="G53" s="3">
        <v>16.0</v>
      </c>
      <c r="H53" s="43"/>
    </row>
    <row r="54" ht="15.75" customHeight="1">
      <c r="A54" s="44" t="s">
        <v>48</v>
      </c>
      <c r="B54" s="45">
        <v>4139.0</v>
      </c>
      <c r="C54" s="45">
        <v>3775.0</v>
      </c>
      <c r="D54" s="45">
        <v>4172.0</v>
      </c>
      <c r="E54" s="45">
        <v>3989.0</v>
      </c>
      <c r="F54" s="45">
        <v>4171.0</v>
      </c>
      <c r="G54" s="45">
        <v>3977.0</v>
      </c>
      <c r="H54" s="43"/>
    </row>
    <row r="55" ht="15.75" customHeight="1">
      <c r="A55" s="15" t="s">
        <v>43</v>
      </c>
      <c r="B55" s="46"/>
      <c r="C55" s="46"/>
      <c r="D55" s="46"/>
      <c r="E55" s="46"/>
      <c r="F55" s="47"/>
      <c r="G55" s="47"/>
      <c r="J55" s="47"/>
    </row>
    <row r="56" ht="15.75" customHeight="1"/>
    <row r="57" ht="15.75" customHeight="1"/>
    <row r="58" ht="15.75" customHeight="1">
      <c r="A58" s="1" t="str">
        <f>Data!B12</f>
        <v>Tabel 2.7 Jumlah Penduduk Desa Sanur Kaja Menurut Pendidikan Tertinggi Yang Ditamatkan, 2022-2024 (jiwa)</v>
      </c>
      <c r="B58" s="4"/>
      <c r="C58" s="4"/>
      <c r="D58" s="4"/>
      <c r="F58" s="4"/>
      <c r="G58" s="48" t="s">
        <v>73</v>
      </c>
    </row>
    <row r="59" ht="15.75" customHeight="1">
      <c r="A59" s="49" t="s">
        <v>74</v>
      </c>
      <c r="B59" s="11">
        <v>2022.0</v>
      </c>
      <c r="C59" s="11">
        <v>2023.0</v>
      </c>
      <c r="D59" s="11">
        <v>2024.0</v>
      </c>
      <c r="F59" s="50"/>
      <c r="G59" s="4"/>
      <c r="H59" s="4"/>
    </row>
    <row r="60" ht="15.75" customHeight="1">
      <c r="A60" s="2" t="s">
        <v>75</v>
      </c>
      <c r="B60" s="13">
        <v>1016.0</v>
      </c>
      <c r="C60" s="13">
        <v>1086.0</v>
      </c>
      <c r="D60" s="13">
        <v>1024.0</v>
      </c>
      <c r="E60" s="51"/>
      <c r="F60" s="52"/>
      <c r="G60" s="4"/>
      <c r="H60" s="4"/>
    </row>
    <row r="61" ht="15.75" customHeight="1">
      <c r="A61" s="2" t="s">
        <v>76</v>
      </c>
      <c r="B61" s="13">
        <v>952.0</v>
      </c>
      <c r="C61" s="13">
        <v>961.0</v>
      </c>
      <c r="D61" s="13">
        <v>958.0</v>
      </c>
      <c r="E61" s="4"/>
      <c r="F61" s="52"/>
      <c r="G61" s="4"/>
      <c r="H61" s="4"/>
    </row>
    <row r="62" ht="15.75" customHeight="1">
      <c r="A62" s="2" t="s">
        <v>77</v>
      </c>
      <c r="B62" s="13">
        <v>2607.0</v>
      </c>
      <c r="C62" s="13">
        <v>2741.0</v>
      </c>
      <c r="D62" s="13">
        <v>2711.0</v>
      </c>
      <c r="E62" s="4"/>
      <c r="F62" s="52"/>
    </row>
    <row r="63" ht="15.75" customHeight="1">
      <c r="A63" s="2" t="s">
        <v>78</v>
      </c>
      <c r="B63" s="13">
        <v>216.0</v>
      </c>
      <c r="C63" s="13">
        <v>224.0</v>
      </c>
      <c r="D63" s="13">
        <v>224.0</v>
      </c>
      <c r="E63" s="4"/>
      <c r="F63" s="50"/>
    </row>
    <row r="64" ht="15.75" customHeight="1">
      <c r="A64" s="2" t="s">
        <v>79</v>
      </c>
      <c r="B64" s="13">
        <v>290.0</v>
      </c>
      <c r="C64" s="13">
        <v>298.0</v>
      </c>
      <c r="D64" s="13">
        <v>296.0</v>
      </c>
      <c r="E64" s="4"/>
      <c r="F64" s="50"/>
    </row>
    <row r="65" ht="15.75" customHeight="1">
      <c r="A65" s="2" t="s">
        <v>80</v>
      </c>
      <c r="B65" s="13">
        <v>189.0</v>
      </c>
      <c r="C65" s="13">
        <v>194.0</v>
      </c>
      <c r="D65" s="13">
        <v>173.0</v>
      </c>
      <c r="E65" s="4"/>
      <c r="F65" s="50"/>
    </row>
    <row r="66" ht="15.75" customHeight="1">
      <c r="A66" s="2" t="s">
        <v>81</v>
      </c>
      <c r="B66" s="13">
        <v>1085.0</v>
      </c>
      <c r="C66" s="13">
        <v>1145.0</v>
      </c>
      <c r="D66" s="13">
        <v>1127.0</v>
      </c>
      <c r="F66" s="50"/>
    </row>
    <row r="67" ht="15.75" customHeight="1">
      <c r="A67" s="2" t="s">
        <v>82</v>
      </c>
      <c r="B67" s="13">
        <v>957.0</v>
      </c>
      <c r="C67" s="13">
        <v>972.0</v>
      </c>
      <c r="D67" s="13">
        <v>961.0</v>
      </c>
      <c r="E67" s="4"/>
      <c r="F67" s="50"/>
    </row>
    <row r="68" ht="15.75" customHeight="1">
      <c r="A68" s="2" t="s">
        <v>83</v>
      </c>
      <c r="B68" s="13">
        <v>11.0</v>
      </c>
      <c r="C68" s="13">
        <v>20.0</v>
      </c>
      <c r="D68" s="13">
        <v>11.0</v>
      </c>
      <c r="E68" s="4"/>
      <c r="F68" s="50"/>
    </row>
    <row r="69" ht="15.75" customHeight="1">
      <c r="A69" s="5" t="s">
        <v>48</v>
      </c>
      <c r="B69" s="53">
        <f t="shared" ref="B69:D69" si="8">sum(B60:B68)</f>
        <v>7323</v>
      </c>
      <c r="C69" s="53">
        <f t="shared" si="8"/>
        <v>7641</v>
      </c>
      <c r="D69" s="53">
        <f t="shared" si="8"/>
        <v>7485</v>
      </c>
      <c r="E69" s="18"/>
      <c r="F69" s="50"/>
    </row>
    <row r="70" ht="15.75" customHeight="1">
      <c r="A70" s="4" t="s">
        <v>43</v>
      </c>
      <c r="B70" s="4"/>
      <c r="C70" s="4"/>
      <c r="D70" s="4"/>
    </row>
    <row r="71" ht="15.75" customHeight="1"/>
    <row r="72" ht="15.75" customHeight="1">
      <c r="A72" s="1" t="str">
        <f>Data!B13</f>
        <v>Tabel 2.8 Jumlah Penduduk Menurut Pekerjaan di Desa Sanur Kaja, 2022-2024 (jiwa)</v>
      </c>
      <c r="B72" s="4"/>
      <c r="C72" s="4"/>
      <c r="D72" s="4"/>
    </row>
    <row r="73" ht="15.75" customHeight="1">
      <c r="A73" s="54" t="s">
        <v>84</v>
      </c>
      <c r="B73" s="55">
        <v>2022.0</v>
      </c>
      <c r="C73" s="56">
        <v>2023.0</v>
      </c>
      <c r="D73" s="55">
        <v>2024.0</v>
      </c>
      <c r="E73" s="57" t="s">
        <v>85</v>
      </c>
      <c r="F73" s="58"/>
      <c r="G73" s="58"/>
    </row>
    <row r="74" ht="15.75" customHeight="1">
      <c r="A74" s="59" t="s">
        <v>86</v>
      </c>
      <c r="B74" s="60">
        <v>115.0</v>
      </c>
      <c r="C74" s="61">
        <v>115.0</v>
      </c>
      <c r="D74" s="62">
        <v>115.0</v>
      </c>
      <c r="E74" s="63" t="s">
        <v>87</v>
      </c>
      <c r="F74" s="64" t="s">
        <v>88</v>
      </c>
      <c r="G74" s="65"/>
    </row>
    <row r="75" ht="15.75" customHeight="1">
      <c r="A75" s="59" t="s">
        <v>89</v>
      </c>
      <c r="B75" s="60">
        <v>28.0</v>
      </c>
      <c r="C75" s="66">
        <v>25.0</v>
      </c>
      <c r="D75" s="62">
        <v>23.0</v>
      </c>
      <c r="E75" s="63" t="s">
        <v>90</v>
      </c>
      <c r="F75" s="64" t="s">
        <v>91</v>
      </c>
      <c r="G75" s="65"/>
    </row>
    <row r="76" ht="15.75" customHeight="1">
      <c r="A76" s="59" t="s">
        <v>92</v>
      </c>
      <c r="B76" s="60">
        <v>37.0</v>
      </c>
      <c r="C76" s="66">
        <v>29.0</v>
      </c>
      <c r="D76" s="62">
        <v>37.0</v>
      </c>
      <c r="E76" s="63" t="s">
        <v>93</v>
      </c>
      <c r="F76" s="64" t="s">
        <v>91</v>
      </c>
      <c r="G76" s="65"/>
    </row>
    <row r="77" ht="15.75" customHeight="1">
      <c r="A77" s="59" t="s">
        <v>94</v>
      </c>
      <c r="B77" s="60">
        <v>48.0</v>
      </c>
      <c r="C77" s="66">
        <v>48.0</v>
      </c>
      <c r="D77" s="62">
        <v>48.0</v>
      </c>
      <c r="E77" s="67"/>
      <c r="F77" s="18"/>
      <c r="G77" s="65"/>
    </row>
    <row r="78" ht="15.75" customHeight="1">
      <c r="A78" s="59" t="s">
        <v>95</v>
      </c>
      <c r="B78" s="60">
        <v>597.0</v>
      </c>
      <c r="C78" s="66">
        <v>621.0</v>
      </c>
      <c r="D78" s="62">
        <v>608.0</v>
      </c>
      <c r="E78" s="67"/>
      <c r="F78" s="18"/>
      <c r="G78" s="65"/>
    </row>
    <row r="79" ht="15.75" customHeight="1">
      <c r="A79" s="59" t="s">
        <v>96</v>
      </c>
      <c r="B79" s="60">
        <v>53.0</v>
      </c>
      <c r="C79" s="66">
        <v>53.0</v>
      </c>
      <c r="D79" s="62">
        <v>53.0</v>
      </c>
      <c r="E79" s="67"/>
      <c r="F79" s="18"/>
      <c r="G79" s="65"/>
    </row>
    <row r="80" ht="15.75" customHeight="1">
      <c r="A80" s="59" t="s">
        <v>97</v>
      </c>
      <c r="B80" s="60">
        <v>7.0</v>
      </c>
      <c r="C80" s="66">
        <v>7.0</v>
      </c>
      <c r="D80" s="62">
        <v>7.0</v>
      </c>
      <c r="E80" s="67"/>
      <c r="F80" s="18"/>
      <c r="G80" s="65"/>
    </row>
    <row r="81" ht="15.75" customHeight="1">
      <c r="A81" s="44" t="s">
        <v>48</v>
      </c>
      <c r="B81" s="68">
        <v>885.0</v>
      </c>
      <c r="C81" s="68">
        <v>898.0</v>
      </c>
      <c r="D81" s="68">
        <v>891.0</v>
      </c>
      <c r="E81" s="18"/>
    </row>
    <row r="82" ht="15.75" customHeight="1">
      <c r="A82" s="4" t="s">
        <v>43</v>
      </c>
      <c r="B82" s="4"/>
      <c r="C82" s="4"/>
      <c r="D82" s="4"/>
    </row>
    <row r="83" ht="15.75" customHeight="1"/>
    <row r="84" ht="15.75" customHeight="1">
      <c r="A84" s="22" t="str">
        <f>Data!B14</f>
        <v>Tabel 2.9 Jumlah Penduduk Desa Sanur Kaja Menurut Kelompok Umur, 2022-2024 (jiwa)</v>
      </c>
      <c r="B84" s="23"/>
      <c r="C84" s="23"/>
      <c r="D84" s="23"/>
      <c r="E84" s="69"/>
    </row>
    <row r="85" ht="15.75" customHeight="1">
      <c r="A85" s="70" t="s">
        <v>70</v>
      </c>
      <c r="B85" s="71">
        <v>2022.0</v>
      </c>
      <c r="C85" s="28"/>
      <c r="D85" s="71">
        <v>2023.0</v>
      </c>
      <c r="E85" s="28"/>
      <c r="F85" s="71">
        <v>2024.0</v>
      </c>
      <c r="G85" s="28"/>
    </row>
    <row r="86" ht="15.75" customHeight="1">
      <c r="A86" s="29"/>
      <c r="B86" s="72" t="s">
        <v>46</v>
      </c>
      <c r="C86" s="72" t="s">
        <v>47</v>
      </c>
      <c r="D86" s="72" t="s">
        <v>46</v>
      </c>
      <c r="E86" s="72" t="s">
        <v>47</v>
      </c>
      <c r="F86" s="72" t="s">
        <v>46</v>
      </c>
      <c r="G86" s="72" t="s">
        <v>47</v>
      </c>
    </row>
    <row r="87" ht="15.75" customHeight="1">
      <c r="A87" s="73" t="s">
        <v>98</v>
      </c>
      <c r="B87" s="74">
        <v>64.0</v>
      </c>
      <c r="C87" s="74">
        <v>67.0</v>
      </c>
      <c r="D87" s="74">
        <v>60.0</v>
      </c>
      <c r="E87" s="74">
        <v>62.0</v>
      </c>
      <c r="F87" s="74">
        <v>61.0</v>
      </c>
      <c r="G87" s="74">
        <v>63.0</v>
      </c>
      <c r="H87" s="41"/>
    </row>
    <row r="88" ht="15.75" customHeight="1">
      <c r="A88" s="73" t="s">
        <v>99</v>
      </c>
      <c r="B88" s="74">
        <v>123.0</v>
      </c>
      <c r="C88" s="74">
        <v>125.0</v>
      </c>
      <c r="D88" s="74">
        <v>108.0</v>
      </c>
      <c r="E88" s="74">
        <v>108.0</v>
      </c>
      <c r="F88" s="74">
        <v>103.0</v>
      </c>
      <c r="G88" s="74">
        <v>98.0</v>
      </c>
      <c r="H88" s="41"/>
    </row>
    <row r="89" ht="15.75" customHeight="1">
      <c r="A89" s="73" t="s">
        <v>100</v>
      </c>
      <c r="B89" s="74">
        <v>128.0</v>
      </c>
      <c r="C89" s="74">
        <v>157.0</v>
      </c>
      <c r="D89" s="74">
        <v>136.0</v>
      </c>
      <c r="E89" s="74">
        <v>151.0</v>
      </c>
      <c r="F89" s="74">
        <v>125.0</v>
      </c>
      <c r="G89" s="74">
        <v>147.0</v>
      </c>
      <c r="H89" s="41"/>
    </row>
    <row r="90" ht="15.75" customHeight="1">
      <c r="A90" s="73" t="s">
        <v>101</v>
      </c>
      <c r="B90" s="74">
        <v>175.0</v>
      </c>
      <c r="C90" s="74">
        <v>181.0</v>
      </c>
      <c r="D90" s="74">
        <v>147.0</v>
      </c>
      <c r="E90" s="74">
        <v>179.0</v>
      </c>
      <c r="F90" s="74">
        <v>143.0</v>
      </c>
      <c r="G90" s="74">
        <v>165.0</v>
      </c>
      <c r="H90" s="41"/>
    </row>
    <row r="91" ht="15.75" customHeight="1">
      <c r="A91" s="73" t="s">
        <v>102</v>
      </c>
      <c r="B91" s="74">
        <v>231.0</v>
      </c>
      <c r="C91" s="74">
        <v>235.0</v>
      </c>
      <c r="D91" s="74">
        <v>209.0</v>
      </c>
      <c r="E91" s="74">
        <v>222.0</v>
      </c>
      <c r="F91" s="74">
        <v>200.0</v>
      </c>
      <c r="G91" s="74">
        <v>216.0</v>
      </c>
      <c r="H91" s="41"/>
    </row>
    <row r="92" ht="15.75" customHeight="1">
      <c r="A92" s="73" t="s">
        <v>103</v>
      </c>
      <c r="B92" s="74">
        <v>308.0</v>
      </c>
      <c r="C92" s="74">
        <v>277.0</v>
      </c>
      <c r="D92" s="74">
        <v>284.0</v>
      </c>
      <c r="E92" s="74">
        <v>266.0</v>
      </c>
      <c r="F92" s="74">
        <v>270.0</v>
      </c>
      <c r="G92" s="74">
        <v>253.0</v>
      </c>
      <c r="H92" s="41"/>
    </row>
    <row r="93" ht="15.75" customHeight="1">
      <c r="A93" s="73" t="s">
        <v>104</v>
      </c>
      <c r="B93" s="74">
        <v>360.0</v>
      </c>
      <c r="C93" s="74">
        <v>345.0</v>
      </c>
      <c r="D93" s="74">
        <v>349.0</v>
      </c>
      <c r="E93" s="74">
        <v>337.0</v>
      </c>
      <c r="F93" s="74">
        <v>329.0</v>
      </c>
      <c r="G93" s="74">
        <v>330.0</v>
      </c>
      <c r="H93" s="41"/>
    </row>
    <row r="94" ht="15.75" customHeight="1">
      <c r="A94" s="73" t="s">
        <v>105</v>
      </c>
      <c r="B94" s="74">
        <v>388.0</v>
      </c>
      <c r="C94" s="75">
        <v>337.0</v>
      </c>
      <c r="D94" s="74">
        <v>375.0</v>
      </c>
      <c r="E94" s="74">
        <v>346.0</v>
      </c>
      <c r="F94" s="74">
        <v>372.0</v>
      </c>
      <c r="G94" s="74">
        <v>340.0</v>
      </c>
      <c r="H94" s="41"/>
    </row>
    <row r="95" ht="15.75" customHeight="1">
      <c r="A95" s="73" t="s">
        <v>106</v>
      </c>
      <c r="B95" s="74">
        <v>390.0</v>
      </c>
      <c r="C95" s="74">
        <v>349.0</v>
      </c>
      <c r="D95" s="74">
        <v>397.0</v>
      </c>
      <c r="E95" s="74">
        <v>358.0</v>
      </c>
      <c r="F95" s="74">
        <v>394.0</v>
      </c>
      <c r="G95" s="74">
        <v>347.0</v>
      </c>
      <c r="H95" s="41"/>
    </row>
    <row r="96" ht="15.75" customHeight="1">
      <c r="A96" s="73" t="s">
        <v>107</v>
      </c>
      <c r="B96" s="74">
        <v>368.0</v>
      </c>
      <c r="C96" s="74">
        <v>328.0</v>
      </c>
      <c r="D96" s="74">
        <v>361.0</v>
      </c>
      <c r="E96" s="74">
        <v>316.0</v>
      </c>
      <c r="F96" s="74">
        <v>378.0</v>
      </c>
      <c r="G96" s="74">
        <v>331.0</v>
      </c>
      <c r="H96" s="41"/>
    </row>
    <row r="97" ht="15.75" customHeight="1">
      <c r="A97" s="73" t="s">
        <v>108</v>
      </c>
      <c r="B97" s="74">
        <v>336.0</v>
      </c>
      <c r="C97" s="74">
        <v>303.0</v>
      </c>
      <c r="D97" s="74">
        <v>342.0</v>
      </c>
      <c r="E97" s="74">
        <v>310.0</v>
      </c>
      <c r="F97" s="74">
        <v>332.0</v>
      </c>
      <c r="G97" s="74">
        <v>306.0</v>
      </c>
      <c r="H97" s="41"/>
    </row>
    <row r="98" ht="15.75" customHeight="1">
      <c r="A98" s="73" t="s">
        <v>109</v>
      </c>
      <c r="B98" s="74">
        <v>316.0</v>
      </c>
      <c r="C98" s="74">
        <v>287.0</v>
      </c>
      <c r="D98" s="74">
        <v>336.0</v>
      </c>
      <c r="E98" s="74">
        <v>285.0</v>
      </c>
      <c r="F98" s="74">
        <v>351.0</v>
      </c>
      <c r="G98" s="74">
        <v>299.0</v>
      </c>
      <c r="H98" s="41"/>
    </row>
    <row r="99" ht="15.75" customHeight="1">
      <c r="A99" s="73" t="s">
        <v>110</v>
      </c>
      <c r="B99" s="74">
        <v>284.0</v>
      </c>
      <c r="C99" s="74">
        <v>258.0</v>
      </c>
      <c r="D99" s="74">
        <v>299.0</v>
      </c>
      <c r="E99" s="74">
        <v>268.0</v>
      </c>
      <c r="F99" s="74">
        <v>309.0</v>
      </c>
      <c r="G99" s="74">
        <v>280.0</v>
      </c>
      <c r="H99" s="41"/>
    </row>
    <row r="100" ht="15.75" customHeight="1">
      <c r="A100" s="73" t="s">
        <v>111</v>
      </c>
      <c r="B100" s="74">
        <v>258.0</v>
      </c>
      <c r="C100" s="74">
        <v>244.0</v>
      </c>
      <c r="D100" s="74">
        <v>265.0</v>
      </c>
      <c r="E100" s="74">
        <v>250.0</v>
      </c>
      <c r="F100" s="74">
        <v>266.0</v>
      </c>
      <c r="G100" s="74">
        <v>248.0</v>
      </c>
      <c r="H100" s="41"/>
    </row>
    <row r="101" ht="15.75" customHeight="1">
      <c r="A101" s="73" t="s">
        <v>112</v>
      </c>
      <c r="B101" s="74">
        <v>133.0</v>
      </c>
      <c r="C101" s="74">
        <v>168.0</v>
      </c>
      <c r="D101" s="74">
        <v>154.0</v>
      </c>
      <c r="E101" s="74">
        <v>177.0</v>
      </c>
      <c r="F101" s="74">
        <v>178.0</v>
      </c>
      <c r="G101" s="74">
        <v>195.0</v>
      </c>
      <c r="H101" s="41"/>
    </row>
    <row r="102" ht="15.75" customHeight="1">
      <c r="A102" s="73" t="s">
        <v>113</v>
      </c>
      <c r="B102" s="74">
        <v>339.0</v>
      </c>
      <c r="C102" s="74">
        <v>323.0</v>
      </c>
      <c r="D102" s="74">
        <v>350.0</v>
      </c>
      <c r="E102" s="74">
        <v>354.0</v>
      </c>
      <c r="F102" s="74">
        <v>360.0</v>
      </c>
      <c r="G102" s="74">
        <v>359.0</v>
      </c>
      <c r="H102" s="41"/>
    </row>
    <row r="103" ht="15.75" customHeight="1">
      <c r="A103" s="76" t="s">
        <v>48</v>
      </c>
      <c r="B103" s="77">
        <f t="shared" ref="B103:G103" si="9">sum(B87:B102)</f>
        <v>4201</v>
      </c>
      <c r="C103" s="77">
        <f t="shared" si="9"/>
        <v>3984</v>
      </c>
      <c r="D103" s="77">
        <f t="shared" si="9"/>
        <v>4172</v>
      </c>
      <c r="E103" s="77">
        <f t="shared" si="9"/>
        <v>3989</v>
      </c>
      <c r="F103" s="77">
        <f t="shared" si="9"/>
        <v>4171</v>
      </c>
      <c r="G103" s="77">
        <f t="shared" si="9"/>
        <v>3977</v>
      </c>
      <c r="H103" s="41"/>
    </row>
    <row r="104" ht="15.75" customHeight="1">
      <c r="A104" s="4" t="s">
        <v>43</v>
      </c>
      <c r="B104" s="4"/>
      <c r="C104" s="4"/>
      <c r="D104" s="4"/>
    </row>
    <row r="105" ht="15.75" customHeight="1"/>
    <row r="106" ht="15.75" customHeight="1"/>
    <row r="107" ht="15.75" customHeight="1">
      <c r="A107" s="78" t="s">
        <v>114</v>
      </c>
    </row>
    <row r="108" ht="15.75" customHeight="1">
      <c r="A108" s="79" t="s">
        <v>115</v>
      </c>
      <c r="B108" s="79">
        <v>2022.0</v>
      </c>
      <c r="C108" s="79">
        <v>2023.0</v>
      </c>
      <c r="D108" s="79">
        <v>2024.0</v>
      </c>
      <c r="F108" s="4"/>
    </row>
    <row r="109" ht="15.75" customHeight="1">
      <c r="A109" s="80" t="s">
        <v>52</v>
      </c>
      <c r="B109" s="81">
        <v>1692.0</v>
      </c>
      <c r="C109" s="81">
        <v>1727.0</v>
      </c>
      <c r="D109" s="81">
        <v>1729.0</v>
      </c>
      <c r="E109" s="8"/>
    </row>
    <row r="110" ht="15.75" customHeight="1">
      <c r="A110" s="80" t="s">
        <v>47</v>
      </c>
      <c r="B110" s="81">
        <v>11.0</v>
      </c>
      <c r="C110" s="81">
        <v>12.0</v>
      </c>
      <c r="D110" s="81">
        <v>12.0</v>
      </c>
      <c r="E110" s="8"/>
    </row>
    <row r="111" ht="15.75" customHeight="1">
      <c r="A111" s="44" t="s">
        <v>48</v>
      </c>
      <c r="B111" s="81">
        <v>1703.0</v>
      </c>
      <c r="C111" s="81">
        <v>1739.0</v>
      </c>
      <c r="D111" s="81">
        <v>1741.0</v>
      </c>
      <c r="E111" s="8"/>
      <c r="F111" s="18"/>
    </row>
    <row r="112" ht="15.75" customHeight="1"/>
    <row r="113" ht="15.75" customHeight="1"/>
    <row r="114" ht="15.75" customHeight="1">
      <c r="A114" s="82" t="s">
        <v>116</v>
      </c>
    </row>
    <row r="115" ht="15.75" customHeight="1">
      <c r="A115" s="83" t="s">
        <v>117</v>
      </c>
      <c r="B115" s="84">
        <v>2022.0</v>
      </c>
      <c r="C115" s="85"/>
      <c r="D115" s="84">
        <v>2023.0</v>
      </c>
      <c r="E115" s="85"/>
      <c r="F115" s="86">
        <v>2024.0</v>
      </c>
      <c r="G115" s="87"/>
    </row>
    <row r="116" ht="15.75" customHeight="1">
      <c r="A116" s="29"/>
      <c r="B116" s="84" t="s">
        <v>46</v>
      </c>
      <c r="C116" s="84" t="s">
        <v>47</v>
      </c>
      <c r="D116" s="84" t="s">
        <v>46</v>
      </c>
      <c r="E116" s="84" t="s">
        <v>47</v>
      </c>
      <c r="F116" s="84" t="s">
        <v>46</v>
      </c>
      <c r="G116" s="84" t="s">
        <v>47</v>
      </c>
      <c r="I116" s="48" t="s">
        <v>118</v>
      </c>
    </row>
    <row r="117" ht="15.75" customHeight="1">
      <c r="A117" s="88" t="s">
        <v>119</v>
      </c>
      <c r="B117" s="88">
        <v>981.0</v>
      </c>
      <c r="C117" s="88">
        <v>977.0</v>
      </c>
      <c r="D117" s="88">
        <v>981.0</v>
      </c>
      <c r="E117" s="88">
        <v>977.0</v>
      </c>
      <c r="F117" s="88">
        <v>981.0</v>
      </c>
      <c r="G117" s="88">
        <v>977.0</v>
      </c>
    </row>
    <row r="118" ht="15.75" customHeight="1">
      <c r="A118" s="88" t="s">
        <v>120</v>
      </c>
      <c r="B118" s="88">
        <v>1754.0</v>
      </c>
      <c r="C118" s="88">
        <v>1436.0</v>
      </c>
      <c r="D118" s="88">
        <v>1745.0</v>
      </c>
      <c r="E118" s="88">
        <v>1464.0</v>
      </c>
      <c r="F118" s="88">
        <v>1745.0</v>
      </c>
      <c r="G118" s="88">
        <v>1464.0</v>
      </c>
    </row>
    <row r="119" ht="15.75" customHeight="1">
      <c r="A119" s="88" t="s">
        <v>121</v>
      </c>
      <c r="B119" s="89">
        <v>7.0</v>
      </c>
      <c r="C119" s="89">
        <v>5.0</v>
      </c>
      <c r="D119" s="88">
        <v>0.0</v>
      </c>
      <c r="E119" s="88">
        <v>0.0</v>
      </c>
      <c r="F119" s="89" t="s">
        <v>122</v>
      </c>
      <c r="G119" s="89" t="s">
        <v>122</v>
      </c>
    </row>
    <row r="120" ht="15.75" customHeight="1">
      <c r="A120" s="88" t="s">
        <v>123</v>
      </c>
      <c r="B120" s="89">
        <v>13.0</v>
      </c>
      <c r="C120" s="89">
        <v>18.0</v>
      </c>
      <c r="D120" s="88">
        <v>0.0</v>
      </c>
      <c r="E120" s="88">
        <v>0.0</v>
      </c>
      <c r="F120" s="89" t="s">
        <v>122</v>
      </c>
      <c r="G120" s="89" t="s">
        <v>122</v>
      </c>
    </row>
    <row r="121" ht="15.75" customHeight="1">
      <c r="A121" s="88" t="s">
        <v>124</v>
      </c>
      <c r="B121" s="88">
        <v>1446.0</v>
      </c>
      <c r="C121" s="88">
        <v>1548.0</v>
      </c>
      <c r="D121" s="88">
        <v>1446.0</v>
      </c>
      <c r="E121" s="88">
        <v>1548.0</v>
      </c>
      <c r="F121" s="88">
        <v>1446.0</v>
      </c>
      <c r="G121" s="88">
        <v>1548.0</v>
      </c>
    </row>
    <row r="122" ht="15.75" customHeight="1">
      <c r="A122" s="90"/>
      <c r="B122" s="90">
        <f t="shared" ref="B122:G122" si="10">sum(B117:B121)</f>
        <v>4201</v>
      </c>
      <c r="C122" s="90">
        <f t="shared" si="10"/>
        <v>3984</v>
      </c>
      <c r="D122" s="90">
        <f t="shared" si="10"/>
        <v>4172</v>
      </c>
      <c r="E122" s="90">
        <f t="shared" si="10"/>
        <v>3989</v>
      </c>
      <c r="F122" s="90">
        <f t="shared" si="10"/>
        <v>4172</v>
      </c>
      <c r="G122" s="90">
        <f t="shared" si="10"/>
        <v>3989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58:$F$70"/>
  <mergeCells count="17">
    <mergeCell ref="A22:A23"/>
    <mergeCell ref="B22:E22"/>
    <mergeCell ref="F22:I22"/>
    <mergeCell ref="J22:M22"/>
    <mergeCell ref="B37:D37"/>
    <mergeCell ref="E37:G37"/>
    <mergeCell ref="H37:J37"/>
    <mergeCell ref="D85:E85"/>
    <mergeCell ref="F85:G85"/>
    <mergeCell ref="A37:A38"/>
    <mergeCell ref="A50:A51"/>
    <mergeCell ref="B50:C50"/>
    <mergeCell ref="D50:E50"/>
    <mergeCell ref="F50:G50"/>
    <mergeCell ref="A85:A86"/>
    <mergeCell ref="B85:C85"/>
    <mergeCell ref="A115:A11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8" width="12.5"/>
  </cols>
  <sheetData>
    <row r="1" ht="15.75" customHeight="1">
      <c r="A1" s="22" t="str">
        <f>Data!B16</f>
        <v>Tabel 3.1 Jumlah Sarana Pendidikan di Desa Sanur Kaja, 2024 (unit)</v>
      </c>
      <c r="B1" s="91"/>
      <c r="C1" s="69"/>
      <c r="D1" s="69"/>
    </row>
    <row r="2" ht="15.75" customHeight="1">
      <c r="A2" s="92" t="s">
        <v>125</v>
      </c>
      <c r="B2" s="79">
        <v>2022.0</v>
      </c>
      <c r="C2" s="79">
        <v>2023.0</v>
      </c>
      <c r="D2" s="93">
        <v>2024.0</v>
      </c>
    </row>
    <row r="3" ht="15.75" customHeight="1">
      <c r="A3" s="94" t="s">
        <v>126</v>
      </c>
      <c r="B3" s="95">
        <v>3.0</v>
      </c>
      <c r="C3" s="95">
        <v>3.0</v>
      </c>
      <c r="D3" s="95">
        <v>3.0</v>
      </c>
      <c r="E3" s="96"/>
      <c r="F3" s="48" t="s">
        <v>127</v>
      </c>
      <c r="G3" s="48"/>
    </row>
    <row r="4" ht="15.75" customHeight="1">
      <c r="A4" s="94" t="s">
        <v>128</v>
      </c>
      <c r="B4" s="95">
        <v>3.0</v>
      </c>
      <c r="C4" s="95">
        <v>3.0</v>
      </c>
      <c r="D4" s="95">
        <v>3.0</v>
      </c>
      <c r="E4" s="96"/>
      <c r="F4" s="48" t="s">
        <v>129</v>
      </c>
      <c r="G4" s="48"/>
    </row>
    <row r="5" ht="15.75" customHeight="1">
      <c r="A5" s="94" t="s">
        <v>130</v>
      </c>
      <c r="B5" s="95">
        <v>0.0</v>
      </c>
      <c r="C5" s="95">
        <v>0.0</v>
      </c>
      <c r="D5" s="95">
        <v>0.0</v>
      </c>
      <c r="E5" s="96"/>
      <c r="F5" s="48" t="s">
        <v>131</v>
      </c>
      <c r="G5" s="48" t="s">
        <v>132</v>
      </c>
    </row>
    <row r="6" ht="15.75" customHeight="1">
      <c r="A6" s="94" t="s">
        <v>133</v>
      </c>
      <c r="B6" s="95">
        <v>1.0</v>
      </c>
      <c r="C6" s="95">
        <v>1.0</v>
      </c>
      <c r="D6" s="95">
        <v>1.0</v>
      </c>
      <c r="E6" s="96"/>
      <c r="F6" s="48" t="s">
        <v>134</v>
      </c>
      <c r="G6" s="48"/>
    </row>
    <row r="7" ht="15.75" customHeight="1">
      <c r="A7" s="94" t="s">
        <v>135</v>
      </c>
      <c r="B7" s="42">
        <v>0.0</v>
      </c>
      <c r="C7" s="42">
        <v>0.0</v>
      </c>
      <c r="D7" s="95">
        <v>0.0</v>
      </c>
      <c r="E7" s="41"/>
    </row>
    <row r="8" ht="15.75" customHeight="1">
      <c r="A8" s="4" t="s">
        <v>43</v>
      </c>
      <c r="B8" s="16"/>
    </row>
    <row r="9" ht="15.75" customHeight="1">
      <c r="B9" s="16"/>
    </row>
    <row r="10" ht="15.75" customHeight="1">
      <c r="B10" s="16"/>
      <c r="I10" s="4"/>
    </row>
    <row r="11" ht="15.75" customHeight="1">
      <c r="A11" s="1" t="str">
        <f>Data!B17</f>
        <v>Tabel 3.2 Jumlah Sarana Kesehatan di Desa Sanur Kaja, 2024 (unit)</v>
      </c>
      <c r="B11" s="16"/>
    </row>
    <row r="12" ht="15.75" customHeight="1">
      <c r="A12" s="92" t="s">
        <v>136</v>
      </c>
      <c r="B12" s="79">
        <v>2022.0</v>
      </c>
      <c r="C12" s="79">
        <v>2023.0</v>
      </c>
      <c r="D12" s="93">
        <v>2024.0</v>
      </c>
    </row>
    <row r="13" ht="15.75" customHeight="1">
      <c r="A13" s="94" t="s">
        <v>137</v>
      </c>
      <c r="B13" s="97">
        <v>0.0</v>
      </c>
      <c r="C13" s="97">
        <v>0.0</v>
      </c>
      <c r="D13" s="95">
        <v>1.0</v>
      </c>
      <c r="E13" s="41"/>
    </row>
    <row r="14" ht="15.75" customHeight="1">
      <c r="A14" s="94" t="s">
        <v>138</v>
      </c>
      <c r="B14" s="97">
        <v>1.0</v>
      </c>
      <c r="C14" s="97">
        <v>1.0</v>
      </c>
      <c r="D14" s="95">
        <v>1.0</v>
      </c>
      <c r="E14" s="41"/>
    </row>
    <row r="15" ht="15.75" customHeight="1">
      <c r="A15" s="94" t="s">
        <v>139</v>
      </c>
      <c r="B15" s="97">
        <v>2.0</v>
      </c>
      <c r="C15" s="97">
        <v>3.0</v>
      </c>
      <c r="D15" s="95">
        <v>4.0</v>
      </c>
      <c r="E15" s="41"/>
    </row>
    <row r="16" ht="15.75" customHeight="1">
      <c r="A16" s="94" t="s">
        <v>140</v>
      </c>
      <c r="B16" s="97">
        <v>8.0</v>
      </c>
      <c r="C16" s="97">
        <v>8.0</v>
      </c>
      <c r="D16" s="95">
        <v>8.0</v>
      </c>
      <c r="E16" s="41"/>
    </row>
    <row r="17" ht="15.75" customHeight="1">
      <c r="A17" s="94" t="s">
        <v>141</v>
      </c>
      <c r="B17" s="97">
        <v>1.0</v>
      </c>
      <c r="C17" s="97">
        <v>1.0</v>
      </c>
      <c r="D17" s="95">
        <v>1.0</v>
      </c>
      <c r="E17" s="41"/>
    </row>
    <row r="18" ht="15.75" customHeight="1">
      <c r="A18" s="4" t="s">
        <v>43</v>
      </c>
      <c r="B18" s="16"/>
    </row>
    <row r="19" ht="15.75" customHeight="1">
      <c r="B19" s="16"/>
    </row>
    <row r="20" ht="15.75" customHeight="1">
      <c r="B20" s="16"/>
    </row>
    <row r="21" ht="15.75" customHeight="1">
      <c r="A21" s="1" t="str">
        <f>Data!B18</f>
        <v>Tabel 3.3 Jumlah Sarana Tempat Ibadah di Desa Sanur Kaja, 2024 (unit)</v>
      </c>
      <c r="B21" s="16"/>
    </row>
    <row r="22" ht="15.75" customHeight="1">
      <c r="A22" s="92" t="s">
        <v>142</v>
      </c>
      <c r="B22" s="79">
        <v>2022.0</v>
      </c>
      <c r="C22" s="79">
        <v>2023.0</v>
      </c>
      <c r="D22" s="93">
        <v>2024.0</v>
      </c>
    </row>
    <row r="23" ht="15.75" customHeight="1">
      <c r="A23" s="94" t="s">
        <v>143</v>
      </c>
      <c r="B23" s="95">
        <v>5.0</v>
      </c>
      <c r="C23" s="95">
        <v>5.0</v>
      </c>
      <c r="D23" s="95">
        <v>5.0</v>
      </c>
      <c r="E23" s="41"/>
    </row>
    <row r="24" ht="15.75" customHeight="1">
      <c r="A24" s="94" t="s">
        <v>144</v>
      </c>
      <c r="B24" s="95">
        <v>1.0</v>
      </c>
      <c r="C24" s="95">
        <v>1.0</v>
      </c>
      <c r="D24" s="95">
        <v>1.0</v>
      </c>
      <c r="E24" s="41"/>
    </row>
    <row r="25" ht="15.75" customHeight="1">
      <c r="A25" s="94" t="s">
        <v>145</v>
      </c>
      <c r="B25" s="98">
        <v>1.0</v>
      </c>
      <c r="C25" s="98">
        <v>1.0</v>
      </c>
      <c r="D25" s="98">
        <v>1.0</v>
      </c>
      <c r="E25" s="41"/>
    </row>
    <row r="26" ht="15.75" customHeight="1">
      <c r="A26" s="94" t="s">
        <v>146</v>
      </c>
      <c r="B26" s="95">
        <v>0.0</v>
      </c>
      <c r="C26" s="95">
        <v>0.0</v>
      </c>
      <c r="D26" s="95">
        <v>0.0</v>
      </c>
      <c r="E26" s="41"/>
    </row>
    <row r="27" ht="15.75" customHeight="1">
      <c r="A27" s="4" t="s">
        <v>43</v>
      </c>
      <c r="B27" s="16"/>
    </row>
    <row r="28" ht="15.75" customHeight="1">
      <c r="B28" s="16"/>
    </row>
    <row r="29" ht="15.75" customHeight="1">
      <c r="B29" s="16"/>
    </row>
    <row r="30" ht="15.75" customHeight="1">
      <c r="B30" s="16"/>
    </row>
    <row r="31" ht="15.75" customHeight="1">
      <c r="B31" s="16"/>
    </row>
    <row r="32" ht="15.75" customHeight="1">
      <c r="B32" s="16"/>
    </row>
    <row r="33" ht="15.75" customHeight="1">
      <c r="B33" s="16"/>
    </row>
    <row r="34" ht="15.75" customHeight="1">
      <c r="B34" s="16"/>
    </row>
    <row r="35" ht="15.75" customHeight="1">
      <c r="B35" s="16"/>
    </row>
    <row r="36" ht="15.75" customHeight="1">
      <c r="B36" s="16"/>
    </row>
    <row r="37" ht="15.75" customHeight="1">
      <c r="B37" s="16"/>
    </row>
    <row r="38" ht="15.75" customHeight="1">
      <c r="B38" s="16"/>
    </row>
    <row r="39" ht="15.75" customHeight="1">
      <c r="B39" s="16"/>
    </row>
    <row r="40" ht="15.75" customHeight="1">
      <c r="B40" s="16"/>
    </row>
    <row r="41" ht="15.75" customHeight="1">
      <c r="B41" s="16"/>
    </row>
    <row r="42" ht="15.75" customHeight="1">
      <c r="B42" s="16"/>
    </row>
    <row r="43" ht="15.75" customHeight="1">
      <c r="B43" s="16"/>
    </row>
    <row r="44" ht="15.75" customHeight="1">
      <c r="B44" s="16"/>
    </row>
    <row r="45" ht="15.75" customHeight="1">
      <c r="B45" s="16"/>
    </row>
    <row r="46" ht="15.75" customHeight="1">
      <c r="B46" s="16"/>
    </row>
    <row r="47" ht="15.75" customHeight="1">
      <c r="B47" s="16"/>
    </row>
    <row r="48" ht="15.75" customHeight="1">
      <c r="B48" s="16"/>
    </row>
    <row r="49" ht="15.75" customHeight="1">
      <c r="B49" s="16"/>
    </row>
    <row r="50" ht="15.75" customHeight="1">
      <c r="B50" s="16"/>
    </row>
    <row r="51" ht="15.75" customHeight="1">
      <c r="B51" s="16"/>
    </row>
    <row r="52" ht="15.75" customHeight="1">
      <c r="B52" s="16"/>
    </row>
    <row r="53" ht="15.75" customHeight="1">
      <c r="B53" s="16"/>
    </row>
    <row r="54" ht="15.75" customHeight="1">
      <c r="B54" s="16"/>
    </row>
    <row r="55" ht="15.75" customHeight="1">
      <c r="B55" s="16"/>
    </row>
    <row r="56" ht="15.75" customHeight="1">
      <c r="B56" s="16"/>
    </row>
    <row r="57" ht="15.75" customHeight="1">
      <c r="B57" s="16"/>
    </row>
    <row r="58" ht="15.75" customHeight="1">
      <c r="B58" s="16"/>
    </row>
    <row r="59" ht="15.75" customHeight="1">
      <c r="B59" s="16"/>
    </row>
    <row r="60" ht="15.75" customHeight="1">
      <c r="B60" s="16"/>
    </row>
    <row r="61" ht="15.75" customHeight="1">
      <c r="B61" s="16"/>
    </row>
    <row r="62" ht="15.75" customHeight="1">
      <c r="B62" s="16"/>
    </row>
    <row r="63" ht="15.75" customHeight="1">
      <c r="B63" s="16"/>
    </row>
    <row r="64" ht="15.75" customHeight="1">
      <c r="B64" s="16"/>
    </row>
    <row r="65" ht="15.75" customHeight="1">
      <c r="B65" s="16"/>
    </row>
    <row r="66" ht="15.75" customHeight="1">
      <c r="B66" s="16"/>
    </row>
    <row r="67" ht="15.75" customHeight="1">
      <c r="B67" s="16"/>
    </row>
    <row r="68" ht="15.75" customHeight="1">
      <c r="B68" s="16"/>
    </row>
    <row r="69" ht="15.75" customHeight="1">
      <c r="B69" s="16"/>
    </row>
    <row r="70" ht="15.75" customHeight="1">
      <c r="B70" s="16"/>
    </row>
    <row r="71" ht="15.75" customHeight="1">
      <c r="B71" s="16"/>
    </row>
    <row r="72" ht="15.75" customHeight="1">
      <c r="B72" s="16"/>
    </row>
    <row r="73" ht="15.75" customHeight="1">
      <c r="B73" s="16"/>
    </row>
    <row r="74" ht="15.75" customHeight="1">
      <c r="B74" s="16"/>
    </row>
    <row r="75" ht="15.75" customHeight="1">
      <c r="B75" s="16"/>
    </row>
    <row r="76" ht="15.75" customHeight="1">
      <c r="B76" s="16"/>
    </row>
    <row r="77" ht="15.75" customHeight="1">
      <c r="B77" s="16"/>
    </row>
    <row r="78" ht="15.75" customHeight="1">
      <c r="B78" s="16"/>
    </row>
    <row r="79" ht="15.75" customHeight="1">
      <c r="B79" s="16"/>
    </row>
    <row r="80" ht="15.75" customHeight="1">
      <c r="B80" s="16"/>
    </row>
    <row r="81" ht="15.75" customHeight="1">
      <c r="B81" s="16"/>
    </row>
    <row r="82" ht="15.75" customHeight="1">
      <c r="B82" s="16"/>
    </row>
    <row r="83" ht="15.75" customHeight="1">
      <c r="B83" s="16"/>
    </row>
    <row r="84" ht="15.75" customHeight="1">
      <c r="B84" s="16"/>
    </row>
    <row r="85" ht="15.75" customHeight="1">
      <c r="B85" s="16"/>
    </row>
    <row r="86" ht="15.75" customHeight="1">
      <c r="B86" s="16"/>
    </row>
    <row r="87" ht="15.75" customHeight="1">
      <c r="B87" s="16"/>
    </row>
    <row r="88" ht="15.75" customHeight="1">
      <c r="B88" s="16"/>
    </row>
    <row r="89" ht="15.75" customHeight="1">
      <c r="B89" s="16"/>
    </row>
    <row r="90" ht="15.75" customHeight="1">
      <c r="B90" s="16"/>
    </row>
    <row r="91" ht="15.75" customHeight="1">
      <c r="B91" s="16"/>
    </row>
    <row r="92" ht="15.75" customHeight="1">
      <c r="B92" s="16"/>
    </row>
    <row r="93" ht="15.75" customHeight="1">
      <c r="B93" s="16"/>
    </row>
    <row r="94" ht="15.75" customHeight="1">
      <c r="B94" s="16"/>
    </row>
    <row r="95" ht="15.75" customHeight="1">
      <c r="B95" s="16"/>
    </row>
    <row r="96" ht="15.75" customHeight="1">
      <c r="B96" s="16"/>
    </row>
    <row r="97" ht="15.75" customHeight="1">
      <c r="B97" s="16"/>
    </row>
    <row r="98" ht="15.75" customHeight="1">
      <c r="B98" s="16"/>
    </row>
    <row r="99" ht="15.75" customHeight="1">
      <c r="B99" s="16"/>
    </row>
    <row r="100" ht="15.75" customHeight="1">
      <c r="B100" s="16"/>
    </row>
    <row r="101" ht="15.75" customHeight="1">
      <c r="B101" s="16"/>
    </row>
    <row r="102" ht="15.75" customHeight="1">
      <c r="B102" s="16"/>
    </row>
    <row r="103" ht="15.75" customHeight="1">
      <c r="B103" s="16"/>
    </row>
    <row r="104" ht="15.75" customHeight="1">
      <c r="B104" s="16"/>
    </row>
    <row r="105" ht="15.75" customHeight="1">
      <c r="B105" s="16"/>
    </row>
    <row r="106" ht="15.75" customHeight="1">
      <c r="B106" s="16"/>
    </row>
    <row r="107" ht="15.75" customHeight="1">
      <c r="B107" s="16"/>
    </row>
    <row r="108" ht="15.75" customHeight="1">
      <c r="B108" s="16"/>
    </row>
    <row r="109" ht="15.75" customHeight="1">
      <c r="B109" s="16"/>
    </row>
    <row r="110" ht="15.75" customHeight="1">
      <c r="B110" s="16"/>
    </row>
    <row r="111" ht="15.75" customHeight="1">
      <c r="B111" s="16"/>
    </row>
    <row r="112" ht="15.75" customHeight="1">
      <c r="B112" s="16"/>
    </row>
    <row r="113" ht="15.75" customHeight="1">
      <c r="B113" s="16"/>
    </row>
    <row r="114" ht="15.75" customHeight="1">
      <c r="B114" s="16"/>
    </row>
    <row r="115" ht="15.75" customHeight="1">
      <c r="B115" s="16"/>
    </row>
    <row r="116" ht="15.75" customHeight="1">
      <c r="B116" s="16"/>
    </row>
    <row r="117" ht="15.75" customHeight="1">
      <c r="B117" s="16"/>
    </row>
    <row r="118" ht="15.75" customHeight="1">
      <c r="B118" s="16"/>
    </row>
    <row r="119" ht="15.75" customHeight="1">
      <c r="B119" s="16"/>
    </row>
    <row r="120" ht="15.75" customHeight="1">
      <c r="B120" s="16"/>
    </row>
    <row r="121" ht="15.75" customHeight="1">
      <c r="B121" s="16"/>
    </row>
    <row r="122" ht="15.75" customHeight="1">
      <c r="B122" s="16"/>
    </row>
    <row r="123" ht="15.75" customHeight="1">
      <c r="B123" s="16"/>
    </row>
    <row r="124" ht="15.75" customHeight="1">
      <c r="B124" s="16"/>
    </row>
    <row r="125" ht="15.75" customHeight="1">
      <c r="B125" s="16"/>
    </row>
    <row r="126" ht="15.75" customHeight="1">
      <c r="B126" s="16"/>
    </row>
    <row r="127" ht="15.75" customHeight="1">
      <c r="B127" s="16"/>
    </row>
    <row r="128" ht="15.75" customHeight="1">
      <c r="B128" s="16"/>
    </row>
    <row r="129" ht="15.75" customHeight="1">
      <c r="B129" s="16"/>
    </row>
    <row r="130" ht="15.75" customHeight="1">
      <c r="B130" s="16"/>
    </row>
    <row r="131" ht="15.75" customHeight="1">
      <c r="B131" s="16"/>
    </row>
    <row r="132" ht="15.75" customHeight="1">
      <c r="B132" s="16"/>
    </row>
    <row r="133" ht="15.75" customHeight="1">
      <c r="B133" s="16"/>
    </row>
    <row r="134" ht="15.75" customHeight="1">
      <c r="B134" s="16"/>
    </row>
    <row r="135" ht="15.75" customHeight="1">
      <c r="B135" s="16"/>
    </row>
    <row r="136" ht="15.75" customHeight="1">
      <c r="B136" s="16"/>
    </row>
    <row r="137" ht="15.75" customHeight="1">
      <c r="B137" s="16"/>
    </row>
    <row r="138" ht="15.75" customHeight="1">
      <c r="B138" s="16"/>
    </row>
    <row r="139" ht="15.75" customHeight="1">
      <c r="B139" s="16"/>
    </row>
    <row r="140" ht="15.75" customHeight="1">
      <c r="B140" s="16"/>
    </row>
    <row r="141" ht="15.75" customHeight="1">
      <c r="B141" s="16"/>
    </row>
    <row r="142" ht="15.75" customHeight="1">
      <c r="B142" s="16"/>
    </row>
    <row r="143" ht="15.75" customHeight="1">
      <c r="B143" s="16"/>
    </row>
    <row r="144" ht="15.75" customHeight="1">
      <c r="B144" s="16"/>
    </row>
    <row r="145" ht="15.75" customHeight="1">
      <c r="B145" s="16"/>
    </row>
    <row r="146" ht="15.75" customHeight="1">
      <c r="B146" s="16"/>
    </row>
    <row r="147" ht="15.75" customHeight="1">
      <c r="B147" s="16"/>
    </row>
    <row r="148" ht="15.75" customHeight="1">
      <c r="B148" s="16"/>
    </row>
    <row r="149" ht="15.75" customHeight="1">
      <c r="B149" s="16"/>
    </row>
    <row r="150" ht="15.75" customHeight="1">
      <c r="B150" s="16"/>
    </row>
    <row r="151" ht="15.75" customHeight="1">
      <c r="B151" s="16"/>
    </row>
    <row r="152" ht="15.75" customHeight="1">
      <c r="B152" s="16"/>
    </row>
    <row r="153" ht="15.75" customHeight="1">
      <c r="B153" s="16"/>
    </row>
    <row r="154" ht="15.75" customHeight="1">
      <c r="B154" s="16"/>
    </row>
    <row r="155" ht="15.75" customHeight="1">
      <c r="B155" s="16"/>
    </row>
    <row r="156" ht="15.75" customHeight="1">
      <c r="B156" s="16"/>
    </row>
    <row r="157" ht="15.75" customHeight="1">
      <c r="B157" s="16"/>
    </row>
    <row r="158" ht="15.75" customHeight="1">
      <c r="B158" s="16"/>
    </row>
    <row r="159" ht="15.75" customHeight="1">
      <c r="B159" s="16"/>
    </row>
    <row r="160" ht="15.75" customHeight="1">
      <c r="B160" s="16"/>
    </row>
    <row r="161" ht="15.75" customHeight="1">
      <c r="B161" s="16"/>
    </row>
    <row r="162" ht="15.75" customHeight="1">
      <c r="B162" s="16"/>
    </row>
    <row r="163" ht="15.75" customHeight="1">
      <c r="B163" s="16"/>
    </row>
    <row r="164" ht="15.75" customHeight="1">
      <c r="B164" s="16"/>
    </row>
    <row r="165" ht="15.75" customHeight="1">
      <c r="B165" s="16"/>
    </row>
    <row r="166" ht="15.75" customHeight="1">
      <c r="B166" s="16"/>
    </row>
    <row r="167" ht="15.75" customHeight="1">
      <c r="B167" s="16"/>
    </row>
    <row r="168" ht="15.75" customHeight="1">
      <c r="B168" s="16"/>
    </row>
    <row r="169" ht="15.75" customHeight="1">
      <c r="B169" s="16"/>
    </row>
    <row r="170" ht="15.75" customHeight="1">
      <c r="B170" s="16"/>
    </row>
    <row r="171" ht="15.75" customHeight="1">
      <c r="B171" s="16"/>
    </row>
    <row r="172" ht="15.75" customHeight="1">
      <c r="B172" s="16"/>
    </row>
    <row r="173" ht="15.75" customHeight="1">
      <c r="B173" s="16"/>
    </row>
    <row r="174" ht="15.75" customHeight="1">
      <c r="B174" s="16"/>
    </row>
    <row r="175" ht="15.75" customHeight="1">
      <c r="B175" s="16"/>
    </row>
    <row r="176" ht="15.75" customHeight="1">
      <c r="B176" s="16"/>
    </row>
    <row r="177" ht="15.75" customHeight="1">
      <c r="B177" s="16"/>
    </row>
    <row r="178" ht="15.75" customHeight="1">
      <c r="B178" s="16"/>
    </row>
    <row r="179" ht="15.75" customHeight="1">
      <c r="B179" s="16"/>
    </row>
    <row r="180" ht="15.75" customHeight="1">
      <c r="B180" s="16"/>
    </row>
    <row r="181" ht="15.75" customHeight="1">
      <c r="B181" s="16"/>
    </row>
    <row r="182" ht="15.75" customHeight="1">
      <c r="B182" s="16"/>
    </row>
    <row r="183" ht="15.75" customHeight="1">
      <c r="B183" s="16"/>
    </row>
    <row r="184" ht="15.75" customHeight="1">
      <c r="B184" s="16"/>
    </row>
    <row r="185" ht="15.75" customHeight="1">
      <c r="B185" s="16"/>
    </row>
    <row r="186" ht="15.75" customHeight="1">
      <c r="B186" s="16"/>
    </row>
    <row r="187" ht="15.75" customHeight="1">
      <c r="B187" s="16"/>
    </row>
    <row r="188" ht="15.75" customHeight="1">
      <c r="B188" s="16"/>
    </row>
    <row r="189" ht="15.75" customHeight="1">
      <c r="B189" s="16"/>
    </row>
    <row r="190" ht="15.75" customHeight="1">
      <c r="B190" s="16"/>
    </row>
    <row r="191" ht="15.75" customHeight="1">
      <c r="B191" s="16"/>
    </row>
    <row r="192" ht="15.75" customHeight="1">
      <c r="B192" s="16"/>
    </row>
    <row r="193" ht="15.75" customHeight="1">
      <c r="B193" s="16"/>
    </row>
    <row r="194" ht="15.75" customHeight="1">
      <c r="B194" s="16"/>
    </row>
    <row r="195" ht="15.75" customHeight="1">
      <c r="B195" s="16"/>
    </row>
    <row r="196" ht="15.75" customHeight="1">
      <c r="B196" s="16"/>
    </row>
    <row r="197" ht="15.75" customHeight="1">
      <c r="B197" s="16"/>
    </row>
    <row r="198" ht="15.75" customHeight="1">
      <c r="B198" s="16"/>
    </row>
    <row r="199" ht="15.75" customHeight="1">
      <c r="B199" s="16"/>
    </row>
    <row r="200" ht="15.75" customHeight="1">
      <c r="B200" s="16"/>
    </row>
    <row r="201" ht="15.75" customHeight="1">
      <c r="B201" s="16"/>
    </row>
    <row r="202" ht="15.75" customHeight="1">
      <c r="B202" s="16"/>
    </row>
    <row r="203" ht="15.75" customHeight="1">
      <c r="B203" s="16"/>
    </row>
    <row r="204" ht="15.75" customHeight="1">
      <c r="B204" s="16"/>
    </row>
    <row r="205" ht="15.75" customHeight="1">
      <c r="B205" s="16"/>
    </row>
    <row r="206" ht="15.75" customHeight="1">
      <c r="B206" s="16"/>
    </row>
    <row r="207" ht="15.75" customHeight="1">
      <c r="B207" s="16"/>
    </row>
    <row r="208" ht="15.75" customHeight="1">
      <c r="B208" s="16"/>
    </row>
    <row r="209" ht="15.75" customHeight="1">
      <c r="B209" s="16"/>
    </row>
    <row r="210" ht="15.75" customHeight="1">
      <c r="B210" s="16"/>
    </row>
    <row r="211" ht="15.75" customHeight="1">
      <c r="B211" s="16"/>
    </row>
    <row r="212" ht="15.75" customHeight="1">
      <c r="B212" s="16"/>
    </row>
    <row r="213" ht="15.75" customHeight="1">
      <c r="B213" s="16"/>
    </row>
    <row r="214" ht="15.75" customHeight="1">
      <c r="B214" s="16"/>
    </row>
    <row r="215" ht="15.75" customHeight="1">
      <c r="B215" s="16"/>
    </row>
    <row r="216" ht="15.75" customHeight="1">
      <c r="B216" s="16"/>
    </row>
    <row r="217" ht="15.75" customHeight="1">
      <c r="B217" s="16"/>
    </row>
    <row r="218" ht="15.75" customHeight="1">
      <c r="B218" s="16"/>
    </row>
    <row r="219" ht="15.75" customHeight="1">
      <c r="B219" s="16"/>
    </row>
    <row r="220" ht="15.75" customHeight="1">
      <c r="B220" s="16"/>
    </row>
    <row r="221" ht="15.75" customHeight="1">
      <c r="B221" s="16"/>
    </row>
    <row r="222" ht="15.75" customHeight="1">
      <c r="B222" s="16"/>
    </row>
    <row r="223" ht="15.75" customHeight="1">
      <c r="B223" s="16"/>
    </row>
    <row r="224" ht="15.75" customHeight="1">
      <c r="B224" s="16"/>
    </row>
    <row r="225" ht="15.75" customHeight="1">
      <c r="B225" s="16"/>
    </row>
    <row r="226" ht="15.75" customHeight="1">
      <c r="B226" s="16"/>
    </row>
    <row r="227" ht="15.75" customHeight="1">
      <c r="B227" s="1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5.13"/>
    <col customWidth="1" min="3" max="3" width="30.63"/>
    <col customWidth="1" min="4" max="4" width="33.5"/>
    <col customWidth="1" min="5" max="5" width="25.88"/>
    <col customWidth="1" min="6" max="6" width="21.88"/>
    <col customWidth="1" min="7" max="7" width="37.0"/>
    <col customWidth="1" min="8" max="8" width="20.13"/>
    <col customWidth="1" min="9" max="26" width="12.5"/>
  </cols>
  <sheetData>
    <row r="1" ht="15.75" customHeight="1">
      <c r="A1" s="22" t="str">
        <f>Data!B20</f>
        <v>Tabel 4.1 Jumlah Sarana Lembaga Ekonomi di Desa Sanur Kaja, 2022-2024 (unit)</v>
      </c>
      <c r="B1" s="91"/>
      <c r="C1" s="91"/>
      <c r="D1" s="91"/>
      <c r="E1" s="16"/>
      <c r="F1" s="16"/>
      <c r="G1" s="16"/>
      <c r="H1" s="16"/>
    </row>
    <row r="2" ht="15.75" customHeight="1">
      <c r="A2" s="5" t="s">
        <v>147</v>
      </c>
      <c r="B2" s="11">
        <v>2022.0</v>
      </c>
      <c r="C2" s="11">
        <v>2023.0</v>
      </c>
      <c r="D2" s="11">
        <v>2024.0</v>
      </c>
      <c r="E2" s="16"/>
      <c r="F2" s="16"/>
      <c r="G2" s="16"/>
      <c r="H2" s="16"/>
    </row>
    <row r="3" ht="15.75" customHeight="1">
      <c r="A3" s="2" t="s">
        <v>148</v>
      </c>
      <c r="B3" s="32">
        <v>1.0</v>
      </c>
      <c r="C3" s="32">
        <v>1.0</v>
      </c>
      <c r="D3" s="32">
        <v>1.0</v>
      </c>
      <c r="E3" s="99"/>
      <c r="F3" s="100"/>
      <c r="G3" s="16"/>
      <c r="H3" s="16"/>
    </row>
    <row r="4" ht="15.75" customHeight="1">
      <c r="A4" s="2" t="s">
        <v>149</v>
      </c>
      <c r="B4" s="32">
        <v>12.0</v>
      </c>
      <c r="C4" s="32">
        <v>12.0</v>
      </c>
      <c r="D4" s="32">
        <v>12.0</v>
      </c>
      <c r="E4" s="101"/>
      <c r="F4" s="100"/>
      <c r="G4" s="16"/>
      <c r="H4" s="16"/>
    </row>
    <row r="5" ht="15.75" customHeight="1">
      <c r="A5" s="2" t="s">
        <v>150</v>
      </c>
      <c r="B5" s="32">
        <v>2.0</v>
      </c>
      <c r="C5" s="32">
        <v>2.0</v>
      </c>
      <c r="D5" s="32">
        <v>2.0</v>
      </c>
      <c r="E5" s="99"/>
      <c r="F5" s="100"/>
      <c r="G5" s="16"/>
      <c r="H5" s="16"/>
    </row>
    <row r="6" ht="15.75" customHeight="1">
      <c r="A6" s="2" t="s">
        <v>151</v>
      </c>
      <c r="B6" s="32">
        <v>2.0</v>
      </c>
      <c r="C6" s="32">
        <v>1.0</v>
      </c>
      <c r="D6" s="32">
        <v>1.0</v>
      </c>
      <c r="E6" s="99"/>
      <c r="F6" s="100"/>
      <c r="G6" s="16"/>
      <c r="H6" s="16"/>
    </row>
    <row r="7" ht="15.75" customHeight="1">
      <c r="A7" s="2" t="s">
        <v>152</v>
      </c>
      <c r="B7" s="32">
        <v>1.0</v>
      </c>
      <c r="C7" s="32">
        <v>1.0</v>
      </c>
      <c r="D7" s="32">
        <v>1.0</v>
      </c>
      <c r="E7" s="99"/>
      <c r="F7" s="100"/>
      <c r="G7" s="16"/>
      <c r="H7" s="16"/>
    </row>
    <row r="8" ht="15.75" customHeight="1">
      <c r="A8" s="4" t="s">
        <v>43</v>
      </c>
      <c r="B8" s="16"/>
      <c r="C8" s="16"/>
      <c r="D8" s="16"/>
      <c r="E8" s="16"/>
      <c r="F8" s="16"/>
      <c r="G8" s="16"/>
      <c r="H8" s="16"/>
    </row>
    <row r="9" ht="15.75" customHeight="1">
      <c r="B9" s="16"/>
      <c r="C9" s="16"/>
      <c r="D9" s="16"/>
      <c r="E9" s="16"/>
      <c r="F9" s="16"/>
      <c r="G9" s="16"/>
      <c r="H9" s="16"/>
    </row>
    <row r="10" ht="15.75" customHeight="1">
      <c r="B10" s="16"/>
      <c r="C10" s="16"/>
      <c r="D10" s="16"/>
      <c r="E10" s="16"/>
      <c r="F10" s="16"/>
      <c r="G10" s="16"/>
      <c r="H10" s="16"/>
    </row>
    <row r="11" ht="15.75" customHeight="1">
      <c r="A11" s="22" t="str">
        <f>Data!B21</f>
        <v>Tabel 4.2 Jumlah Keluarga Penerima Jaring Pengaman Sosial (JPS) di Desa Sanur Kaja Menurut Jenisnya, 2022-2024 (KK)</v>
      </c>
      <c r="B11" s="91"/>
      <c r="C11" s="91"/>
      <c r="D11" s="91"/>
      <c r="E11" s="91"/>
      <c r="F11" s="16"/>
      <c r="G11" s="16"/>
      <c r="H11" s="16"/>
    </row>
    <row r="12" ht="15.75" customHeight="1">
      <c r="A12" s="5" t="s">
        <v>153</v>
      </c>
      <c r="B12" s="11">
        <v>2022.0</v>
      </c>
      <c r="C12" s="11">
        <v>2023.0</v>
      </c>
      <c r="D12" s="11">
        <v>2024.0</v>
      </c>
      <c r="E12" s="16"/>
      <c r="F12" s="16"/>
      <c r="G12" s="16"/>
      <c r="H12" s="16"/>
    </row>
    <row r="13" ht="15.75" customHeight="1">
      <c r="A13" s="2" t="s">
        <v>154</v>
      </c>
      <c r="B13" s="32">
        <v>118.0</v>
      </c>
      <c r="C13" s="32">
        <v>27.0</v>
      </c>
      <c r="D13" s="32">
        <v>10.0</v>
      </c>
      <c r="E13" s="99"/>
      <c r="F13" s="16"/>
      <c r="G13" s="16"/>
      <c r="H13" s="16"/>
    </row>
    <row r="14" ht="15.75" customHeight="1">
      <c r="A14" s="2" t="s">
        <v>155</v>
      </c>
      <c r="B14" s="32">
        <v>28.0</v>
      </c>
      <c r="C14" s="32">
        <v>28.0</v>
      </c>
      <c r="D14" s="32">
        <v>18.0</v>
      </c>
      <c r="E14" s="99"/>
      <c r="F14" s="16"/>
      <c r="G14" s="16"/>
      <c r="H14" s="16"/>
    </row>
    <row r="15" ht="15.75" customHeight="1">
      <c r="A15" s="2" t="s">
        <v>156</v>
      </c>
      <c r="B15" s="32">
        <v>28.0</v>
      </c>
      <c r="C15" s="32">
        <v>28.0</v>
      </c>
      <c r="D15" s="32">
        <v>18.0</v>
      </c>
      <c r="E15" s="99"/>
      <c r="F15" s="16"/>
      <c r="G15" s="16"/>
      <c r="H15" s="16"/>
    </row>
    <row r="16" ht="15.75" customHeight="1">
      <c r="A16" s="102" t="s">
        <v>157</v>
      </c>
      <c r="B16" s="103">
        <v>0.0</v>
      </c>
      <c r="C16" s="103">
        <v>0.0</v>
      </c>
      <c r="D16" s="103">
        <v>0.0</v>
      </c>
      <c r="E16" s="99"/>
      <c r="F16" s="16"/>
      <c r="G16" s="16"/>
      <c r="H16" s="16"/>
    </row>
    <row r="17" ht="15.75" customHeight="1">
      <c r="A17" s="4" t="s">
        <v>43</v>
      </c>
      <c r="B17" s="16"/>
      <c r="C17" s="16"/>
      <c r="D17" s="16"/>
      <c r="E17" s="16"/>
      <c r="F17" s="16"/>
      <c r="G17" s="16"/>
      <c r="H17" s="16"/>
    </row>
    <row r="18" ht="15.75" customHeight="1">
      <c r="A18" s="4"/>
      <c r="B18" s="16"/>
      <c r="C18" s="16"/>
      <c r="D18" s="16"/>
      <c r="E18" s="16"/>
      <c r="F18" s="16"/>
      <c r="G18" s="16"/>
      <c r="H18" s="16"/>
    </row>
    <row r="19" ht="15.75" customHeight="1">
      <c r="B19" s="16"/>
      <c r="C19" s="16"/>
      <c r="D19" s="16"/>
      <c r="E19" s="16"/>
      <c r="F19" s="16"/>
      <c r="G19" s="16"/>
      <c r="H19" s="16"/>
    </row>
    <row r="20" ht="15.75" customHeight="1">
      <c r="A20" s="84" t="str">
        <f>Data!B22</f>
        <v>Tabel 4.3 Jumlah Koperasi di Desa Sanur Kaja menurut Jenisnya, 2022-2024 (Unit)</v>
      </c>
      <c r="B20" s="32"/>
      <c r="C20" s="32"/>
      <c r="D20" s="32"/>
      <c r="E20" s="104"/>
      <c r="F20" s="16"/>
      <c r="G20" s="16"/>
      <c r="H20" s="16"/>
    </row>
    <row r="21" ht="15.75" customHeight="1">
      <c r="A21" s="90"/>
      <c r="B21" s="105">
        <v>2022.0</v>
      </c>
      <c r="C21" s="105">
        <v>2023.0</v>
      </c>
      <c r="D21" s="105">
        <v>2024.0</v>
      </c>
      <c r="E21" s="104"/>
      <c r="F21" s="16"/>
      <c r="G21" s="16"/>
      <c r="H21" s="16"/>
    </row>
    <row r="22" ht="15.75" customHeight="1">
      <c r="A22" s="88" t="s">
        <v>158</v>
      </c>
      <c r="B22" s="105">
        <v>1.0</v>
      </c>
      <c r="C22" s="105">
        <v>1.0</v>
      </c>
      <c r="D22" s="105">
        <v>1.0</v>
      </c>
      <c r="E22" s="104"/>
      <c r="F22" s="16"/>
      <c r="G22" s="16"/>
      <c r="H22" s="16"/>
    </row>
    <row r="23" ht="15.75" customHeight="1">
      <c r="A23" s="88" t="s">
        <v>159</v>
      </c>
      <c r="B23" s="105">
        <v>8.0</v>
      </c>
      <c r="C23" s="105">
        <v>8.0</v>
      </c>
      <c r="D23" s="105">
        <v>8.0</v>
      </c>
      <c r="E23" s="104"/>
      <c r="F23" s="16"/>
      <c r="G23" s="16"/>
      <c r="H23" s="16"/>
    </row>
    <row r="24" ht="15.75" customHeight="1">
      <c r="A24" s="4" t="s">
        <v>43</v>
      </c>
      <c r="B24" s="16"/>
      <c r="C24" s="16"/>
      <c r="D24" s="16"/>
      <c r="E24" s="16"/>
      <c r="F24" s="16"/>
      <c r="G24" s="16"/>
      <c r="H24" s="16"/>
    </row>
    <row r="25" ht="15.75" customHeight="1">
      <c r="B25" s="16"/>
      <c r="C25" s="16"/>
      <c r="D25" s="16"/>
      <c r="E25" s="16"/>
      <c r="F25" s="16"/>
      <c r="G25" s="16"/>
      <c r="H25" s="16"/>
    </row>
    <row r="26" ht="15.75" customHeight="1">
      <c r="B26" s="16"/>
      <c r="C26" s="16"/>
      <c r="D26" s="16"/>
      <c r="E26" s="16"/>
      <c r="F26" s="16"/>
      <c r="G26" s="16"/>
      <c r="H26" s="16"/>
    </row>
    <row r="27" ht="15.75" customHeight="1">
      <c r="B27" s="16"/>
      <c r="C27" s="16"/>
      <c r="D27" s="16"/>
      <c r="E27" s="16"/>
      <c r="F27" s="16"/>
      <c r="G27" s="16"/>
      <c r="H27" s="16"/>
    </row>
    <row r="28" ht="15.75" customHeight="1">
      <c r="B28" s="16"/>
      <c r="C28" s="16"/>
      <c r="D28" s="16"/>
      <c r="E28" s="16"/>
      <c r="F28" s="16"/>
      <c r="G28" s="16"/>
      <c r="H28" s="16"/>
    </row>
    <row r="29" ht="15.75" customHeight="1">
      <c r="B29" s="16"/>
      <c r="C29" s="16"/>
      <c r="D29" s="16"/>
      <c r="E29" s="16"/>
      <c r="F29" s="16"/>
      <c r="G29" s="16"/>
      <c r="H29" s="16"/>
    </row>
    <row r="30" ht="15.75" customHeight="1">
      <c r="B30" s="16"/>
      <c r="C30" s="16"/>
      <c r="D30" s="16"/>
      <c r="E30" s="16"/>
      <c r="F30" s="16"/>
      <c r="G30" s="16"/>
      <c r="H30" s="16"/>
    </row>
    <row r="31" ht="15.75" customHeight="1">
      <c r="B31" s="16"/>
      <c r="C31" s="16"/>
      <c r="D31" s="16"/>
      <c r="E31" s="16"/>
      <c r="F31" s="16"/>
      <c r="G31" s="16"/>
      <c r="H31" s="16"/>
    </row>
    <row r="32" ht="15.75" customHeight="1">
      <c r="B32" s="16"/>
      <c r="C32" s="16"/>
      <c r="D32" s="16"/>
      <c r="E32" s="16"/>
      <c r="F32" s="16"/>
      <c r="G32" s="16"/>
      <c r="H32" s="16"/>
    </row>
    <row r="33" ht="15.75" customHeight="1">
      <c r="B33" s="16"/>
      <c r="C33" s="16"/>
      <c r="D33" s="16"/>
      <c r="E33" s="16"/>
      <c r="F33" s="16"/>
      <c r="G33" s="16"/>
      <c r="H33" s="16"/>
    </row>
    <row r="34" ht="15.75" customHeight="1">
      <c r="B34" s="16"/>
      <c r="C34" s="16"/>
      <c r="D34" s="16"/>
      <c r="E34" s="16"/>
      <c r="F34" s="16"/>
      <c r="G34" s="16"/>
      <c r="H34" s="16"/>
    </row>
    <row r="35" ht="15.75" customHeight="1">
      <c r="B35" s="16"/>
      <c r="C35" s="16"/>
      <c r="D35" s="16"/>
      <c r="E35" s="16"/>
      <c r="F35" s="16"/>
      <c r="G35" s="16"/>
      <c r="H35" s="16"/>
    </row>
    <row r="36" ht="15.75" customHeight="1">
      <c r="B36" s="16"/>
      <c r="C36" s="16"/>
      <c r="D36" s="16"/>
      <c r="E36" s="16"/>
      <c r="F36" s="16"/>
      <c r="G36" s="16"/>
      <c r="H36" s="16"/>
    </row>
    <row r="37" ht="15.75" customHeight="1">
      <c r="B37" s="16"/>
      <c r="C37" s="16"/>
      <c r="D37" s="16"/>
      <c r="E37" s="16"/>
      <c r="F37" s="16"/>
      <c r="G37" s="16"/>
      <c r="H37" s="16"/>
    </row>
    <row r="38" ht="15.75" customHeight="1">
      <c r="B38" s="16"/>
      <c r="C38" s="16"/>
      <c r="D38" s="16"/>
      <c r="E38" s="16"/>
      <c r="F38" s="16"/>
      <c r="G38" s="16"/>
      <c r="H38" s="16"/>
    </row>
    <row r="39" ht="15.75" customHeight="1">
      <c r="B39" s="16"/>
      <c r="C39" s="16"/>
      <c r="D39" s="16"/>
      <c r="E39" s="16"/>
      <c r="F39" s="16"/>
      <c r="G39" s="16"/>
      <c r="H39" s="16"/>
    </row>
    <row r="40" ht="15.75" customHeight="1">
      <c r="B40" s="16"/>
      <c r="C40" s="16"/>
      <c r="D40" s="16"/>
      <c r="E40" s="16"/>
      <c r="F40" s="16"/>
      <c r="G40" s="16"/>
      <c r="H40" s="16"/>
    </row>
    <row r="41" ht="15.75" customHeight="1">
      <c r="B41" s="16"/>
      <c r="C41" s="16"/>
      <c r="D41" s="16"/>
      <c r="E41" s="16"/>
      <c r="F41" s="16"/>
      <c r="G41" s="16"/>
      <c r="H41" s="16"/>
    </row>
    <row r="42" ht="15.75" customHeight="1">
      <c r="B42" s="16"/>
      <c r="C42" s="16"/>
      <c r="D42" s="16"/>
      <c r="E42" s="16"/>
      <c r="F42" s="16"/>
      <c r="G42" s="16"/>
      <c r="H42" s="16"/>
    </row>
    <row r="43" ht="15.75" customHeight="1">
      <c r="B43" s="16"/>
      <c r="C43" s="16"/>
      <c r="D43" s="16"/>
      <c r="E43" s="16"/>
      <c r="F43" s="16"/>
      <c r="G43" s="16"/>
      <c r="H43" s="16"/>
    </row>
    <row r="44" ht="15.75" customHeight="1">
      <c r="B44" s="16"/>
      <c r="C44" s="16"/>
      <c r="D44" s="16"/>
      <c r="E44" s="16"/>
      <c r="F44" s="16"/>
      <c r="G44" s="16"/>
      <c r="H44" s="16"/>
    </row>
    <row r="45" ht="15.75" customHeight="1">
      <c r="B45" s="16"/>
      <c r="C45" s="16"/>
      <c r="D45" s="16"/>
      <c r="E45" s="16"/>
      <c r="F45" s="16"/>
      <c r="G45" s="16"/>
      <c r="H45" s="16"/>
    </row>
    <row r="46" ht="15.75" customHeight="1">
      <c r="B46" s="16"/>
      <c r="C46" s="16"/>
      <c r="D46" s="16"/>
      <c r="E46" s="16"/>
      <c r="F46" s="16"/>
      <c r="G46" s="16"/>
      <c r="H46" s="16"/>
    </row>
    <row r="47" ht="15.75" customHeight="1">
      <c r="B47" s="16"/>
      <c r="C47" s="16"/>
      <c r="D47" s="16"/>
      <c r="E47" s="16"/>
      <c r="F47" s="16"/>
      <c r="G47" s="16"/>
      <c r="H47" s="16"/>
    </row>
    <row r="48" ht="15.75" customHeight="1">
      <c r="B48" s="16"/>
      <c r="C48" s="16"/>
      <c r="D48" s="16"/>
      <c r="E48" s="16"/>
      <c r="F48" s="16"/>
      <c r="G48" s="16"/>
      <c r="H48" s="16"/>
    </row>
    <row r="49" ht="15.75" customHeight="1">
      <c r="B49" s="16"/>
      <c r="C49" s="16"/>
      <c r="D49" s="16"/>
      <c r="E49" s="16"/>
      <c r="F49" s="16"/>
      <c r="G49" s="16"/>
      <c r="H49" s="16"/>
    </row>
    <row r="50" ht="15.75" customHeight="1">
      <c r="B50" s="16"/>
      <c r="C50" s="16"/>
      <c r="D50" s="16"/>
      <c r="E50" s="16"/>
      <c r="F50" s="16"/>
      <c r="G50" s="16"/>
      <c r="H50" s="16"/>
    </row>
    <row r="51" ht="15.75" customHeight="1">
      <c r="B51" s="16"/>
      <c r="C51" s="16"/>
      <c r="D51" s="16"/>
      <c r="E51" s="16"/>
      <c r="F51" s="16"/>
      <c r="G51" s="16"/>
      <c r="H51" s="16"/>
    </row>
    <row r="52" ht="15.75" customHeight="1">
      <c r="B52" s="16"/>
      <c r="C52" s="16"/>
      <c r="D52" s="16"/>
      <c r="E52" s="16"/>
      <c r="F52" s="16"/>
      <c r="G52" s="16"/>
      <c r="H52" s="16"/>
    </row>
    <row r="53" ht="15.75" customHeight="1">
      <c r="B53" s="16"/>
      <c r="C53" s="16"/>
      <c r="D53" s="16"/>
      <c r="E53" s="16"/>
      <c r="F53" s="16"/>
      <c r="G53" s="16"/>
      <c r="H53" s="16"/>
    </row>
    <row r="54" ht="15.75" customHeight="1">
      <c r="B54" s="16"/>
      <c r="C54" s="16"/>
      <c r="D54" s="16"/>
      <c r="E54" s="16"/>
      <c r="F54" s="16"/>
      <c r="G54" s="16"/>
      <c r="H54" s="16"/>
    </row>
    <row r="55" ht="15.75" customHeight="1">
      <c r="B55" s="16"/>
      <c r="C55" s="16"/>
      <c r="D55" s="16"/>
      <c r="E55" s="16"/>
      <c r="F55" s="16"/>
      <c r="G55" s="16"/>
      <c r="H55" s="16"/>
    </row>
    <row r="56" ht="15.75" customHeight="1">
      <c r="B56" s="16"/>
      <c r="C56" s="16"/>
      <c r="D56" s="16"/>
      <c r="E56" s="16"/>
      <c r="F56" s="16"/>
      <c r="G56" s="16"/>
      <c r="H56" s="16"/>
    </row>
    <row r="57" ht="15.75" customHeight="1">
      <c r="B57" s="16"/>
      <c r="C57" s="16"/>
      <c r="D57" s="16"/>
      <c r="E57" s="16"/>
      <c r="F57" s="16"/>
      <c r="G57" s="16"/>
      <c r="H57" s="16"/>
    </row>
    <row r="58" ht="15.75" customHeight="1">
      <c r="B58" s="16"/>
      <c r="C58" s="16"/>
      <c r="D58" s="16"/>
      <c r="E58" s="16"/>
      <c r="F58" s="16"/>
      <c r="G58" s="16"/>
      <c r="H58" s="16"/>
    </row>
    <row r="59" ht="15.75" customHeight="1">
      <c r="B59" s="16"/>
      <c r="C59" s="16"/>
      <c r="D59" s="16"/>
      <c r="E59" s="16"/>
      <c r="F59" s="16"/>
      <c r="G59" s="16"/>
      <c r="H59" s="16"/>
    </row>
    <row r="60" ht="15.75" customHeight="1">
      <c r="B60" s="16"/>
      <c r="C60" s="16"/>
      <c r="D60" s="16"/>
      <c r="E60" s="16"/>
      <c r="F60" s="16"/>
      <c r="G60" s="16"/>
      <c r="H60" s="16"/>
    </row>
    <row r="61" ht="15.75" customHeight="1">
      <c r="B61" s="16"/>
      <c r="C61" s="16"/>
      <c r="D61" s="16"/>
      <c r="E61" s="16"/>
      <c r="F61" s="16"/>
      <c r="G61" s="16"/>
      <c r="H61" s="16"/>
    </row>
    <row r="62" ht="15.75" customHeight="1">
      <c r="B62" s="16"/>
      <c r="C62" s="16"/>
      <c r="D62" s="16"/>
      <c r="E62" s="16"/>
      <c r="F62" s="16"/>
      <c r="G62" s="16"/>
      <c r="H62" s="16"/>
    </row>
    <row r="63" ht="15.75" customHeight="1">
      <c r="B63" s="16"/>
      <c r="C63" s="16"/>
      <c r="D63" s="16"/>
      <c r="E63" s="16"/>
      <c r="F63" s="16"/>
      <c r="G63" s="16"/>
      <c r="H63" s="16"/>
    </row>
    <row r="64" ht="15.75" customHeight="1">
      <c r="B64" s="16"/>
      <c r="C64" s="16"/>
      <c r="D64" s="16"/>
      <c r="E64" s="16"/>
      <c r="F64" s="16"/>
      <c r="G64" s="16"/>
      <c r="H64" s="16"/>
    </row>
    <row r="65" ht="15.75" customHeight="1">
      <c r="B65" s="16"/>
      <c r="C65" s="16"/>
      <c r="D65" s="16"/>
      <c r="E65" s="16"/>
      <c r="F65" s="16"/>
      <c r="G65" s="16"/>
      <c r="H65" s="16"/>
    </row>
    <row r="66" ht="15.75" customHeight="1">
      <c r="B66" s="16"/>
      <c r="C66" s="16"/>
      <c r="D66" s="16"/>
      <c r="E66" s="16"/>
      <c r="F66" s="16"/>
      <c r="G66" s="16"/>
      <c r="H66" s="16"/>
    </row>
    <row r="67" ht="15.75" customHeight="1">
      <c r="B67" s="16"/>
      <c r="C67" s="16"/>
      <c r="D67" s="16"/>
      <c r="E67" s="16"/>
      <c r="F67" s="16"/>
      <c r="G67" s="16"/>
      <c r="H67" s="16"/>
    </row>
    <row r="68" ht="15.75" customHeight="1">
      <c r="B68" s="16"/>
      <c r="C68" s="16"/>
      <c r="D68" s="16"/>
      <c r="E68" s="16"/>
      <c r="F68" s="16"/>
      <c r="G68" s="16"/>
      <c r="H68" s="16"/>
    </row>
    <row r="69" ht="15.75" customHeight="1">
      <c r="B69" s="16"/>
      <c r="C69" s="16"/>
      <c r="D69" s="16"/>
      <c r="E69" s="16"/>
      <c r="F69" s="16"/>
      <c r="G69" s="16"/>
      <c r="H69" s="16"/>
    </row>
    <row r="70" ht="15.75" customHeight="1">
      <c r="B70" s="16"/>
      <c r="C70" s="16"/>
      <c r="D70" s="16"/>
      <c r="E70" s="16"/>
      <c r="F70" s="16"/>
      <c r="G70" s="16"/>
      <c r="H70" s="16"/>
    </row>
    <row r="71" ht="15.75" customHeight="1">
      <c r="B71" s="16"/>
      <c r="C71" s="16"/>
      <c r="D71" s="16"/>
      <c r="E71" s="16"/>
      <c r="F71" s="16"/>
      <c r="G71" s="16"/>
      <c r="H71" s="16"/>
    </row>
    <row r="72" ht="15.75" customHeight="1">
      <c r="B72" s="16"/>
      <c r="C72" s="16"/>
      <c r="D72" s="16"/>
      <c r="E72" s="16"/>
      <c r="F72" s="16"/>
      <c r="G72" s="16"/>
      <c r="H72" s="16"/>
    </row>
    <row r="73" ht="15.75" customHeight="1">
      <c r="B73" s="16"/>
      <c r="C73" s="16"/>
      <c r="D73" s="16"/>
      <c r="E73" s="16"/>
      <c r="F73" s="16"/>
      <c r="G73" s="16"/>
      <c r="H73" s="16"/>
    </row>
    <row r="74" ht="15.75" customHeight="1">
      <c r="B74" s="16"/>
      <c r="C74" s="16"/>
      <c r="D74" s="16"/>
      <c r="E74" s="16"/>
      <c r="F74" s="16"/>
      <c r="G74" s="16"/>
      <c r="H74" s="16"/>
    </row>
    <row r="75" ht="15.75" customHeight="1">
      <c r="B75" s="16"/>
      <c r="C75" s="16"/>
      <c r="D75" s="16"/>
      <c r="E75" s="16"/>
      <c r="F75" s="16"/>
      <c r="G75" s="16"/>
      <c r="H75" s="16"/>
    </row>
    <row r="76" ht="15.75" customHeight="1">
      <c r="B76" s="16"/>
      <c r="C76" s="16"/>
      <c r="D76" s="16"/>
      <c r="E76" s="16"/>
      <c r="F76" s="16"/>
      <c r="G76" s="16"/>
      <c r="H76" s="16"/>
    </row>
    <row r="77" ht="15.75" customHeight="1">
      <c r="B77" s="16"/>
      <c r="C77" s="16"/>
      <c r="D77" s="16"/>
      <c r="E77" s="16"/>
      <c r="F77" s="16"/>
      <c r="G77" s="16"/>
      <c r="H77" s="16"/>
    </row>
    <row r="78" ht="15.75" customHeight="1">
      <c r="B78" s="16"/>
      <c r="C78" s="16"/>
      <c r="D78" s="16"/>
      <c r="E78" s="16"/>
      <c r="F78" s="16"/>
      <c r="G78" s="16"/>
      <c r="H78" s="16"/>
    </row>
    <row r="79" ht="15.75" customHeight="1">
      <c r="B79" s="16"/>
      <c r="C79" s="16"/>
      <c r="D79" s="16"/>
      <c r="E79" s="16"/>
      <c r="F79" s="16"/>
      <c r="G79" s="16"/>
      <c r="H79" s="16"/>
    </row>
    <row r="80" ht="15.75" customHeight="1">
      <c r="B80" s="16"/>
      <c r="C80" s="16"/>
      <c r="D80" s="16"/>
      <c r="E80" s="16"/>
      <c r="F80" s="16"/>
      <c r="G80" s="16"/>
      <c r="H80" s="16"/>
    </row>
    <row r="81" ht="15.75" customHeight="1">
      <c r="B81" s="16"/>
      <c r="C81" s="16"/>
      <c r="D81" s="16"/>
      <c r="E81" s="16"/>
      <c r="F81" s="16"/>
      <c r="G81" s="16"/>
      <c r="H81" s="16"/>
    </row>
    <row r="82" ht="15.75" customHeight="1">
      <c r="B82" s="16"/>
      <c r="C82" s="16"/>
      <c r="D82" s="16"/>
      <c r="E82" s="16"/>
      <c r="F82" s="16"/>
      <c r="G82" s="16"/>
      <c r="H82" s="16"/>
    </row>
    <row r="83" ht="15.75" customHeight="1">
      <c r="B83" s="16"/>
      <c r="C83" s="16"/>
      <c r="D83" s="16"/>
      <c r="E83" s="16"/>
      <c r="F83" s="16"/>
      <c r="G83" s="16"/>
      <c r="H83" s="16"/>
    </row>
    <row r="84" ht="15.75" customHeight="1">
      <c r="B84" s="16"/>
      <c r="C84" s="16"/>
      <c r="D84" s="16"/>
      <c r="E84" s="16"/>
      <c r="F84" s="16"/>
      <c r="G84" s="16"/>
      <c r="H84" s="16"/>
    </row>
    <row r="85" ht="15.75" customHeight="1">
      <c r="B85" s="16"/>
      <c r="C85" s="16"/>
      <c r="D85" s="16"/>
      <c r="E85" s="16"/>
      <c r="F85" s="16"/>
      <c r="G85" s="16"/>
      <c r="H85" s="16"/>
    </row>
    <row r="86" ht="15.75" customHeight="1">
      <c r="B86" s="16"/>
      <c r="C86" s="16"/>
      <c r="D86" s="16"/>
      <c r="E86" s="16"/>
      <c r="F86" s="16"/>
      <c r="G86" s="16"/>
      <c r="H86" s="16"/>
    </row>
    <row r="87" ht="15.75" customHeight="1">
      <c r="B87" s="16"/>
      <c r="C87" s="16"/>
      <c r="D87" s="16"/>
      <c r="E87" s="16"/>
      <c r="F87" s="16"/>
      <c r="G87" s="16"/>
      <c r="H87" s="16"/>
    </row>
    <row r="88" ht="15.75" customHeight="1">
      <c r="B88" s="16"/>
      <c r="C88" s="16"/>
      <c r="D88" s="16"/>
      <c r="E88" s="16"/>
      <c r="F88" s="16"/>
      <c r="G88" s="16"/>
      <c r="H88" s="16"/>
    </row>
    <row r="89" ht="15.75" customHeight="1">
      <c r="B89" s="16"/>
      <c r="C89" s="16"/>
      <c r="D89" s="16"/>
      <c r="E89" s="16"/>
      <c r="F89" s="16"/>
      <c r="G89" s="16"/>
      <c r="H89" s="16"/>
    </row>
    <row r="90" ht="15.75" customHeight="1">
      <c r="B90" s="16"/>
      <c r="C90" s="16"/>
      <c r="D90" s="16"/>
      <c r="E90" s="16"/>
      <c r="F90" s="16"/>
      <c r="G90" s="16"/>
      <c r="H90" s="16"/>
    </row>
    <row r="91" ht="15.75" customHeight="1">
      <c r="B91" s="16"/>
      <c r="C91" s="16"/>
      <c r="D91" s="16"/>
      <c r="E91" s="16"/>
      <c r="F91" s="16"/>
      <c r="G91" s="16"/>
      <c r="H91" s="16"/>
    </row>
    <row r="92" ht="15.75" customHeight="1">
      <c r="B92" s="16"/>
      <c r="C92" s="16"/>
      <c r="D92" s="16"/>
      <c r="E92" s="16"/>
      <c r="F92" s="16"/>
      <c r="G92" s="16"/>
      <c r="H92" s="16"/>
    </row>
    <row r="93" ht="15.75" customHeight="1">
      <c r="B93" s="16"/>
      <c r="C93" s="16"/>
      <c r="D93" s="16"/>
      <c r="E93" s="16"/>
      <c r="F93" s="16"/>
      <c r="G93" s="16"/>
      <c r="H93" s="16"/>
    </row>
    <row r="94" ht="15.75" customHeight="1">
      <c r="B94" s="16"/>
      <c r="C94" s="16"/>
      <c r="D94" s="16"/>
      <c r="E94" s="16"/>
      <c r="F94" s="16"/>
      <c r="G94" s="16"/>
      <c r="H94" s="16"/>
    </row>
    <row r="95" ht="15.75" customHeight="1">
      <c r="B95" s="16"/>
      <c r="C95" s="16"/>
      <c r="D95" s="16"/>
      <c r="E95" s="16"/>
      <c r="F95" s="16"/>
      <c r="G95" s="16"/>
      <c r="H95" s="16"/>
    </row>
    <row r="96" ht="15.75" customHeight="1">
      <c r="B96" s="16"/>
      <c r="C96" s="16"/>
      <c r="D96" s="16"/>
      <c r="E96" s="16"/>
      <c r="F96" s="16"/>
      <c r="G96" s="16"/>
      <c r="H96" s="16"/>
    </row>
    <row r="97" ht="15.75" customHeight="1">
      <c r="B97" s="16"/>
      <c r="C97" s="16"/>
      <c r="D97" s="16"/>
      <c r="E97" s="16"/>
      <c r="F97" s="16"/>
      <c r="G97" s="16"/>
      <c r="H97" s="16"/>
    </row>
    <row r="98" ht="15.75" customHeight="1">
      <c r="B98" s="16"/>
      <c r="C98" s="16"/>
      <c r="D98" s="16"/>
      <c r="E98" s="16"/>
      <c r="F98" s="16"/>
      <c r="G98" s="16"/>
      <c r="H98" s="16"/>
    </row>
    <row r="99" ht="15.75" customHeight="1">
      <c r="B99" s="16"/>
      <c r="C99" s="16"/>
      <c r="D99" s="16"/>
      <c r="E99" s="16"/>
      <c r="F99" s="16"/>
      <c r="G99" s="16"/>
      <c r="H99" s="16"/>
    </row>
    <row r="100" ht="15.75" customHeight="1">
      <c r="B100" s="16"/>
      <c r="C100" s="16"/>
      <c r="D100" s="16"/>
      <c r="E100" s="16"/>
      <c r="F100" s="16"/>
      <c r="G100" s="16"/>
      <c r="H100" s="16"/>
    </row>
    <row r="101" ht="15.75" customHeight="1">
      <c r="B101" s="16"/>
      <c r="C101" s="16"/>
      <c r="D101" s="16"/>
      <c r="E101" s="16"/>
      <c r="F101" s="16"/>
      <c r="G101" s="16"/>
      <c r="H101" s="16"/>
    </row>
    <row r="102" ht="15.75" customHeight="1">
      <c r="B102" s="16"/>
      <c r="C102" s="16"/>
      <c r="D102" s="16"/>
      <c r="E102" s="16"/>
      <c r="F102" s="16"/>
      <c r="G102" s="16"/>
      <c r="H102" s="16"/>
    </row>
    <row r="103" ht="15.75" customHeight="1">
      <c r="B103" s="16"/>
      <c r="C103" s="16"/>
      <c r="D103" s="16"/>
      <c r="E103" s="16"/>
      <c r="F103" s="16"/>
      <c r="G103" s="16"/>
      <c r="H103" s="16"/>
    </row>
    <row r="104" ht="15.75" customHeight="1">
      <c r="B104" s="16"/>
      <c r="C104" s="16"/>
      <c r="D104" s="16"/>
      <c r="E104" s="16"/>
      <c r="F104" s="16"/>
      <c r="G104" s="16"/>
      <c r="H104" s="16"/>
    </row>
    <row r="105" ht="15.75" customHeight="1">
      <c r="B105" s="16"/>
      <c r="C105" s="16"/>
      <c r="D105" s="16"/>
      <c r="E105" s="16"/>
      <c r="F105" s="16"/>
      <c r="G105" s="16"/>
      <c r="H105" s="16"/>
    </row>
    <row r="106" ht="15.75" customHeight="1">
      <c r="B106" s="16"/>
      <c r="C106" s="16"/>
      <c r="D106" s="16"/>
      <c r="E106" s="16"/>
      <c r="F106" s="16"/>
      <c r="G106" s="16"/>
      <c r="H106" s="16"/>
    </row>
    <row r="107" ht="15.75" customHeight="1">
      <c r="B107" s="16"/>
      <c r="C107" s="16"/>
      <c r="D107" s="16"/>
      <c r="E107" s="16"/>
      <c r="F107" s="16"/>
      <c r="G107" s="16"/>
      <c r="H107" s="16"/>
    </row>
    <row r="108" ht="15.75" customHeight="1">
      <c r="B108" s="16"/>
      <c r="C108" s="16"/>
      <c r="D108" s="16"/>
      <c r="E108" s="16"/>
      <c r="F108" s="16"/>
      <c r="G108" s="16"/>
      <c r="H108" s="16"/>
    </row>
    <row r="109" ht="15.75" customHeight="1">
      <c r="B109" s="16"/>
      <c r="C109" s="16"/>
      <c r="D109" s="16"/>
      <c r="E109" s="16"/>
      <c r="F109" s="16"/>
      <c r="G109" s="16"/>
      <c r="H109" s="16"/>
    </row>
    <row r="110" ht="15.75" customHeight="1">
      <c r="B110" s="16"/>
      <c r="C110" s="16"/>
      <c r="D110" s="16"/>
      <c r="E110" s="16"/>
      <c r="F110" s="16"/>
      <c r="G110" s="16"/>
      <c r="H110" s="16"/>
    </row>
    <row r="111" ht="15.75" customHeight="1">
      <c r="B111" s="16"/>
      <c r="C111" s="16"/>
      <c r="D111" s="16"/>
      <c r="E111" s="16"/>
      <c r="F111" s="16"/>
      <c r="G111" s="16"/>
      <c r="H111" s="16"/>
    </row>
    <row r="112" ht="15.75" customHeight="1">
      <c r="B112" s="16"/>
      <c r="C112" s="16"/>
      <c r="D112" s="16"/>
      <c r="E112" s="16"/>
      <c r="F112" s="16"/>
      <c r="G112" s="16"/>
      <c r="H112" s="16"/>
    </row>
    <row r="113" ht="15.75" customHeight="1">
      <c r="B113" s="16"/>
      <c r="C113" s="16"/>
      <c r="D113" s="16"/>
      <c r="E113" s="16"/>
      <c r="F113" s="16"/>
      <c r="G113" s="16"/>
      <c r="H113" s="16"/>
    </row>
    <row r="114" ht="15.75" customHeight="1">
      <c r="B114" s="16"/>
      <c r="C114" s="16"/>
      <c r="D114" s="16"/>
      <c r="E114" s="16"/>
      <c r="F114" s="16"/>
      <c r="G114" s="16"/>
      <c r="H114" s="16"/>
    </row>
    <row r="115" ht="15.75" customHeight="1">
      <c r="B115" s="16"/>
      <c r="C115" s="16"/>
      <c r="D115" s="16"/>
      <c r="E115" s="16"/>
      <c r="F115" s="16"/>
      <c r="G115" s="16"/>
      <c r="H115" s="16"/>
    </row>
    <row r="116" ht="15.75" customHeight="1">
      <c r="B116" s="16"/>
      <c r="C116" s="16"/>
      <c r="D116" s="16"/>
      <c r="E116" s="16"/>
      <c r="F116" s="16"/>
      <c r="G116" s="16"/>
      <c r="H116" s="16"/>
    </row>
    <row r="117" ht="15.75" customHeight="1">
      <c r="B117" s="16"/>
      <c r="C117" s="16"/>
      <c r="D117" s="16"/>
      <c r="E117" s="16"/>
      <c r="F117" s="16"/>
      <c r="G117" s="16"/>
      <c r="H117" s="16"/>
    </row>
    <row r="118" ht="15.75" customHeight="1">
      <c r="B118" s="16"/>
      <c r="C118" s="16"/>
      <c r="D118" s="16"/>
      <c r="E118" s="16"/>
      <c r="F118" s="16"/>
      <c r="G118" s="16"/>
      <c r="H118" s="16"/>
    </row>
    <row r="119" ht="15.75" customHeight="1">
      <c r="B119" s="16"/>
      <c r="C119" s="16"/>
      <c r="D119" s="16"/>
      <c r="E119" s="16"/>
      <c r="F119" s="16"/>
      <c r="G119" s="16"/>
      <c r="H119" s="16"/>
    </row>
    <row r="120" ht="15.75" customHeight="1">
      <c r="B120" s="16"/>
      <c r="C120" s="16"/>
      <c r="D120" s="16"/>
      <c r="E120" s="16"/>
      <c r="F120" s="16"/>
      <c r="G120" s="16"/>
      <c r="H120" s="16"/>
    </row>
    <row r="121" ht="15.75" customHeight="1">
      <c r="B121" s="16"/>
      <c r="C121" s="16"/>
      <c r="D121" s="16"/>
      <c r="E121" s="16"/>
      <c r="F121" s="16"/>
      <c r="G121" s="16"/>
      <c r="H121" s="16"/>
    </row>
    <row r="122" ht="15.75" customHeight="1">
      <c r="B122" s="16"/>
      <c r="C122" s="16"/>
      <c r="D122" s="16"/>
      <c r="E122" s="16"/>
      <c r="F122" s="16"/>
      <c r="G122" s="16"/>
      <c r="H122" s="16"/>
    </row>
    <row r="123" ht="15.75" customHeight="1">
      <c r="B123" s="16"/>
      <c r="C123" s="16"/>
      <c r="D123" s="16"/>
      <c r="E123" s="16"/>
      <c r="F123" s="16"/>
      <c r="G123" s="16"/>
      <c r="H123" s="16"/>
    </row>
    <row r="124" ht="15.75" customHeight="1">
      <c r="B124" s="16"/>
      <c r="C124" s="16"/>
      <c r="D124" s="16"/>
      <c r="E124" s="16"/>
      <c r="F124" s="16"/>
      <c r="G124" s="16"/>
      <c r="H124" s="16"/>
    </row>
    <row r="125" ht="15.75" customHeight="1">
      <c r="B125" s="16"/>
      <c r="C125" s="16"/>
      <c r="D125" s="16"/>
      <c r="E125" s="16"/>
      <c r="F125" s="16"/>
      <c r="G125" s="16"/>
      <c r="H125" s="16"/>
    </row>
    <row r="126" ht="15.75" customHeight="1">
      <c r="B126" s="16"/>
      <c r="C126" s="16"/>
      <c r="D126" s="16"/>
      <c r="E126" s="16"/>
      <c r="F126" s="16"/>
      <c r="G126" s="16"/>
      <c r="H126" s="16"/>
    </row>
    <row r="127" ht="15.75" customHeight="1">
      <c r="B127" s="16"/>
      <c r="C127" s="16"/>
      <c r="D127" s="16"/>
      <c r="E127" s="16"/>
      <c r="F127" s="16"/>
      <c r="G127" s="16"/>
      <c r="H127" s="16"/>
    </row>
    <row r="128" ht="15.75" customHeight="1">
      <c r="B128" s="16"/>
      <c r="C128" s="16"/>
      <c r="D128" s="16"/>
      <c r="E128" s="16"/>
      <c r="F128" s="16"/>
      <c r="G128" s="16"/>
      <c r="H128" s="16"/>
    </row>
    <row r="129" ht="15.75" customHeight="1">
      <c r="B129" s="16"/>
      <c r="C129" s="16"/>
      <c r="D129" s="16"/>
      <c r="E129" s="16"/>
      <c r="F129" s="16"/>
      <c r="G129" s="16"/>
      <c r="H129" s="16"/>
    </row>
    <row r="130" ht="15.75" customHeight="1">
      <c r="B130" s="16"/>
      <c r="C130" s="16"/>
      <c r="D130" s="16"/>
      <c r="E130" s="16"/>
      <c r="F130" s="16"/>
      <c r="G130" s="16"/>
      <c r="H130" s="16"/>
    </row>
    <row r="131" ht="15.75" customHeight="1">
      <c r="B131" s="16"/>
      <c r="C131" s="16"/>
      <c r="D131" s="16"/>
      <c r="E131" s="16"/>
      <c r="F131" s="16"/>
      <c r="G131" s="16"/>
      <c r="H131" s="16"/>
    </row>
    <row r="132" ht="15.75" customHeight="1">
      <c r="B132" s="16"/>
      <c r="C132" s="16"/>
      <c r="D132" s="16"/>
      <c r="E132" s="16"/>
      <c r="F132" s="16"/>
      <c r="G132" s="16"/>
      <c r="H132" s="16"/>
    </row>
    <row r="133" ht="15.75" customHeight="1">
      <c r="B133" s="16"/>
      <c r="C133" s="16"/>
      <c r="D133" s="16"/>
      <c r="E133" s="16"/>
      <c r="F133" s="16"/>
      <c r="G133" s="16"/>
      <c r="H133" s="16"/>
    </row>
    <row r="134" ht="15.75" customHeight="1">
      <c r="B134" s="16"/>
      <c r="C134" s="16"/>
      <c r="D134" s="16"/>
      <c r="E134" s="16"/>
      <c r="F134" s="16"/>
      <c r="G134" s="16"/>
      <c r="H134" s="16"/>
    </row>
    <row r="135" ht="15.75" customHeight="1">
      <c r="B135" s="16"/>
      <c r="C135" s="16"/>
      <c r="D135" s="16"/>
      <c r="E135" s="16"/>
      <c r="F135" s="16"/>
      <c r="G135" s="16"/>
      <c r="H135" s="16"/>
    </row>
    <row r="136" ht="15.75" customHeight="1">
      <c r="B136" s="16"/>
      <c r="C136" s="16"/>
      <c r="D136" s="16"/>
      <c r="E136" s="16"/>
      <c r="F136" s="16"/>
      <c r="G136" s="16"/>
      <c r="H136" s="16"/>
    </row>
    <row r="137" ht="15.75" customHeight="1">
      <c r="B137" s="16"/>
      <c r="C137" s="16"/>
      <c r="D137" s="16"/>
      <c r="E137" s="16"/>
      <c r="F137" s="16"/>
      <c r="G137" s="16"/>
      <c r="H137" s="16"/>
    </row>
    <row r="138" ht="15.75" customHeight="1">
      <c r="B138" s="16"/>
      <c r="C138" s="16"/>
      <c r="D138" s="16"/>
      <c r="E138" s="16"/>
      <c r="F138" s="16"/>
      <c r="G138" s="16"/>
      <c r="H138" s="16"/>
    </row>
    <row r="139" ht="15.75" customHeight="1">
      <c r="B139" s="16"/>
      <c r="C139" s="16"/>
      <c r="D139" s="16"/>
      <c r="E139" s="16"/>
      <c r="F139" s="16"/>
      <c r="G139" s="16"/>
      <c r="H139" s="16"/>
    </row>
    <row r="140" ht="15.75" customHeight="1">
      <c r="B140" s="16"/>
      <c r="C140" s="16"/>
      <c r="D140" s="16"/>
      <c r="E140" s="16"/>
      <c r="F140" s="16"/>
      <c r="G140" s="16"/>
      <c r="H140" s="16"/>
    </row>
    <row r="141" ht="15.75" customHeight="1">
      <c r="B141" s="16"/>
      <c r="C141" s="16"/>
      <c r="D141" s="16"/>
      <c r="E141" s="16"/>
      <c r="F141" s="16"/>
      <c r="G141" s="16"/>
      <c r="H141" s="16"/>
    </row>
    <row r="142" ht="15.75" customHeight="1">
      <c r="B142" s="16"/>
      <c r="C142" s="16"/>
      <c r="D142" s="16"/>
      <c r="E142" s="16"/>
      <c r="F142" s="16"/>
      <c r="G142" s="16"/>
      <c r="H142" s="16"/>
    </row>
    <row r="143" ht="15.75" customHeight="1">
      <c r="B143" s="16"/>
      <c r="C143" s="16"/>
      <c r="D143" s="16"/>
      <c r="E143" s="16"/>
      <c r="F143" s="16"/>
      <c r="G143" s="16"/>
      <c r="H143" s="16"/>
    </row>
    <row r="144" ht="15.75" customHeight="1">
      <c r="B144" s="16"/>
      <c r="C144" s="16"/>
      <c r="D144" s="16"/>
      <c r="E144" s="16"/>
      <c r="F144" s="16"/>
      <c r="G144" s="16"/>
      <c r="H144" s="16"/>
    </row>
    <row r="145" ht="15.75" customHeight="1">
      <c r="B145" s="16"/>
      <c r="C145" s="16"/>
      <c r="D145" s="16"/>
      <c r="E145" s="16"/>
      <c r="F145" s="16"/>
      <c r="G145" s="16"/>
      <c r="H145" s="16"/>
    </row>
    <row r="146" ht="15.75" customHeight="1">
      <c r="B146" s="16"/>
      <c r="C146" s="16"/>
      <c r="D146" s="16"/>
      <c r="E146" s="16"/>
      <c r="F146" s="16"/>
      <c r="G146" s="16"/>
      <c r="H146" s="16"/>
    </row>
    <row r="147" ht="15.75" customHeight="1">
      <c r="B147" s="16"/>
      <c r="C147" s="16"/>
      <c r="D147" s="16"/>
      <c r="E147" s="16"/>
      <c r="F147" s="16"/>
      <c r="G147" s="16"/>
      <c r="H147" s="16"/>
    </row>
    <row r="148" ht="15.75" customHeight="1">
      <c r="B148" s="16"/>
      <c r="C148" s="16"/>
      <c r="D148" s="16"/>
      <c r="E148" s="16"/>
      <c r="F148" s="16"/>
      <c r="G148" s="16"/>
      <c r="H148" s="16"/>
    </row>
    <row r="149" ht="15.75" customHeight="1">
      <c r="B149" s="16"/>
      <c r="C149" s="16"/>
      <c r="D149" s="16"/>
      <c r="E149" s="16"/>
      <c r="F149" s="16"/>
      <c r="G149" s="16"/>
      <c r="H149" s="16"/>
    </row>
    <row r="150" ht="15.75" customHeight="1">
      <c r="B150" s="16"/>
      <c r="C150" s="16"/>
      <c r="D150" s="16"/>
      <c r="E150" s="16"/>
      <c r="F150" s="16"/>
      <c r="G150" s="16"/>
      <c r="H150" s="16"/>
    </row>
    <row r="151" ht="15.75" customHeight="1">
      <c r="B151" s="16"/>
      <c r="C151" s="16"/>
      <c r="D151" s="16"/>
      <c r="E151" s="16"/>
      <c r="F151" s="16"/>
      <c r="G151" s="16"/>
      <c r="H151" s="16"/>
    </row>
    <row r="152" ht="15.75" customHeight="1">
      <c r="B152" s="16"/>
      <c r="C152" s="16"/>
      <c r="D152" s="16"/>
      <c r="E152" s="16"/>
      <c r="F152" s="16"/>
      <c r="G152" s="16"/>
      <c r="H152" s="16"/>
    </row>
    <row r="153" ht="15.75" customHeight="1">
      <c r="B153" s="16"/>
      <c r="C153" s="16"/>
      <c r="D153" s="16"/>
      <c r="E153" s="16"/>
      <c r="F153" s="16"/>
      <c r="G153" s="16"/>
      <c r="H153" s="16"/>
    </row>
    <row r="154" ht="15.75" customHeight="1">
      <c r="B154" s="16"/>
      <c r="C154" s="16"/>
      <c r="D154" s="16"/>
      <c r="E154" s="16"/>
      <c r="F154" s="16"/>
      <c r="G154" s="16"/>
      <c r="H154" s="16"/>
    </row>
    <row r="155" ht="15.75" customHeight="1">
      <c r="B155" s="16"/>
      <c r="C155" s="16"/>
      <c r="D155" s="16"/>
      <c r="E155" s="16"/>
      <c r="F155" s="16"/>
      <c r="G155" s="16"/>
      <c r="H155" s="16"/>
    </row>
    <row r="156" ht="15.75" customHeight="1">
      <c r="B156" s="16"/>
      <c r="C156" s="16"/>
      <c r="D156" s="16"/>
      <c r="E156" s="16"/>
      <c r="F156" s="16"/>
      <c r="G156" s="16"/>
      <c r="H156" s="16"/>
    </row>
    <row r="157" ht="15.75" customHeight="1">
      <c r="B157" s="16"/>
      <c r="C157" s="16"/>
      <c r="D157" s="16"/>
      <c r="E157" s="16"/>
      <c r="F157" s="16"/>
      <c r="G157" s="16"/>
      <c r="H157" s="16"/>
    </row>
    <row r="158" ht="15.75" customHeight="1">
      <c r="B158" s="16"/>
      <c r="C158" s="16"/>
      <c r="D158" s="16"/>
      <c r="E158" s="16"/>
      <c r="F158" s="16"/>
      <c r="G158" s="16"/>
      <c r="H158" s="16"/>
    </row>
    <row r="159" ht="15.75" customHeight="1">
      <c r="B159" s="16"/>
      <c r="C159" s="16"/>
      <c r="D159" s="16"/>
      <c r="E159" s="16"/>
      <c r="F159" s="16"/>
      <c r="G159" s="16"/>
      <c r="H159" s="16"/>
    </row>
    <row r="160" ht="15.75" customHeight="1">
      <c r="B160" s="16"/>
      <c r="C160" s="16"/>
      <c r="D160" s="16"/>
      <c r="E160" s="16"/>
      <c r="F160" s="16"/>
      <c r="G160" s="16"/>
      <c r="H160" s="16"/>
    </row>
    <row r="161" ht="15.75" customHeight="1">
      <c r="B161" s="16"/>
      <c r="C161" s="16"/>
      <c r="D161" s="16"/>
      <c r="E161" s="16"/>
      <c r="F161" s="16"/>
      <c r="G161" s="16"/>
      <c r="H161" s="16"/>
    </row>
    <row r="162" ht="15.75" customHeight="1">
      <c r="B162" s="16"/>
      <c r="C162" s="16"/>
      <c r="D162" s="16"/>
      <c r="E162" s="16"/>
      <c r="F162" s="16"/>
      <c r="G162" s="16"/>
      <c r="H162" s="16"/>
    </row>
    <row r="163" ht="15.75" customHeight="1">
      <c r="B163" s="16"/>
      <c r="C163" s="16"/>
      <c r="D163" s="16"/>
      <c r="E163" s="16"/>
      <c r="F163" s="16"/>
      <c r="G163" s="16"/>
      <c r="H163" s="16"/>
    </row>
    <row r="164" ht="15.75" customHeight="1">
      <c r="B164" s="16"/>
      <c r="C164" s="16"/>
      <c r="D164" s="16"/>
      <c r="E164" s="16"/>
      <c r="F164" s="16"/>
      <c r="G164" s="16"/>
      <c r="H164" s="16"/>
    </row>
    <row r="165" ht="15.75" customHeight="1">
      <c r="B165" s="16"/>
      <c r="C165" s="16"/>
      <c r="D165" s="16"/>
      <c r="E165" s="16"/>
      <c r="F165" s="16"/>
      <c r="G165" s="16"/>
      <c r="H165" s="16"/>
    </row>
    <row r="166" ht="15.75" customHeight="1">
      <c r="B166" s="16"/>
      <c r="C166" s="16"/>
      <c r="D166" s="16"/>
      <c r="E166" s="16"/>
      <c r="F166" s="16"/>
      <c r="G166" s="16"/>
      <c r="H166" s="16"/>
    </row>
    <row r="167" ht="15.75" customHeight="1">
      <c r="B167" s="16"/>
      <c r="C167" s="16"/>
      <c r="D167" s="16"/>
      <c r="E167" s="16"/>
      <c r="F167" s="16"/>
      <c r="G167" s="16"/>
      <c r="H167" s="16"/>
    </row>
    <row r="168" ht="15.75" customHeight="1">
      <c r="B168" s="16"/>
      <c r="C168" s="16"/>
      <c r="D168" s="16"/>
      <c r="E168" s="16"/>
      <c r="F168" s="16"/>
      <c r="G168" s="16"/>
      <c r="H168" s="16"/>
    </row>
    <row r="169" ht="15.75" customHeight="1">
      <c r="B169" s="16"/>
      <c r="C169" s="16"/>
      <c r="D169" s="16"/>
      <c r="E169" s="16"/>
      <c r="F169" s="16"/>
      <c r="G169" s="16"/>
      <c r="H169" s="16"/>
    </row>
    <row r="170" ht="15.75" customHeight="1">
      <c r="B170" s="16"/>
      <c r="C170" s="16"/>
      <c r="D170" s="16"/>
      <c r="E170" s="16"/>
      <c r="F170" s="16"/>
      <c r="G170" s="16"/>
      <c r="H170" s="16"/>
    </row>
    <row r="171" ht="15.75" customHeight="1">
      <c r="B171" s="16"/>
      <c r="C171" s="16"/>
      <c r="D171" s="16"/>
      <c r="E171" s="16"/>
      <c r="F171" s="16"/>
      <c r="G171" s="16"/>
      <c r="H171" s="16"/>
    </row>
    <row r="172" ht="15.75" customHeight="1">
      <c r="B172" s="16"/>
      <c r="C172" s="16"/>
      <c r="D172" s="16"/>
      <c r="E172" s="16"/>
      <c r="F172" s="16"/>
      <c r="G172" s="16"/>
      <c r="H172" s="16"/>
    </row>
    <row r="173" ht="15.75" customHeight="1">
      <c r="B173" s="16"/>
      <c r="C173" s="16"/>
      <c r="D173" s="16"/>
      <c r="E173" s="16"/>
      <c r="F173" s="16"/>
      <c r="G173" s="16"/>
      <c r="H173" s="16"/>
    </row>
    <row r="174" ht="15.75" customHeight="1">
      <c r="B174" s="16"/>
      <c r="C174" s="16"/>
      <c r="D174" s="16"/>
      <c r="E174" s="16"/>
      <c r="F174" s="16"/>
      <c r="G174" s="16"/>
      <c r="H174" s="16"/>
    </row>
    <row r="175" ht="15.75" customHeight="1">
      <c r="B175" s="16"/>
      <c r="C175" s="16"/>
      <c r="D175" s="16"/>
      <c r="E175" s="16"/>
      <c r="F175" s="16"/>
      <c r="G175" s="16"/>
      <c r="H175" s="16"/>
    </row>
    <row r="176" ht="15.75" customHeight="1">
      <c r="B176" s="16"/>
      <c r="C176" s="16"/>
      <c r="D176" s="16"/>
      <c r="E176" s="16"/>
      <c r="F176" s="16"/>
      <c r="G176" s="16"/>
      <c r="H176" s="16"/>
    </row>
    <row r="177" ht="15.75" customHeight="1">
      <c r="B177" s="16"/>
      <c r="C177" s="16"/>
      <c r="D177" s="16"/>
      <c r="E177" s="16"/>
      <c r="F177" s="16"/>
      <c r="G177" s="16"/>
      <c r="H177" s="16"/>
    </row>
    <row r="178" ht="15.75" customHeight="1">
      <c r="B178" s="16"/>
      <c r="C178" s="16"/>
      <c r="D178" s="16"/>
      <c r="E178" s="16"/>
      <c r="F178" s="16"/>
      <c r="G178" s="16"/>
      <c r="H178" s="16"/>
    </row>
    <row r="179" ht="15.75" customHeight="1">
      <c r="B179" s="16"/>
      <c r="C179" s="16"/>
      <c r="D179" s="16"/>
      <c r="E179" s="16"/>
      <c r="F179" s="16"/>
      <c r="G179" s="16"/>
      <c r="H179" s="16"/>
    </row>
    <row r="180" ht="15.75" customHeight="1">
      <c r="B180" s="16"/>
      <c r="C180" s="16"/>
      <c r="D180" s="16"/>
      <c r="E180" s="16"/>
      <c r="F180" s="16"/>
      <c r="G180" s="16"/>
      <c r="H180" s="16"/>
    </row>
    <row r="181" ht="15.75" customHeight="1">
      <c r="B181" s="16"/>
      <c r="C181" s="16"/>
      <c r="D181" s="16"/>
      <c r="E181" s="16"/>
      <c r="F181" s="16"/>
      <c r="G181" s="16"/>
      <c r="H181" s="16"/>
    </row>
    <row r="182" ht="15.75" customHeight="1">
      <c r="B182" s="16"/>
      <c r="C182" s="16"/>
      <c r="D182" s="16"/>
      <c r="E182" s="16"/>
      <c r="F182" s="16"/>
      <c r="G182" s="16"/>
      <c r="H182" s="16"/>
    </row>
    <row r="183" ht="15.75" customHeight="1">
      <c r="B183" s="16"/>
      <c r="C183" s="16"/>
      <c r="D183" s="16"/>
      <c r="E183" s="16"/>
      <c r="F183" s="16"/>
      <c r="G183" s="16"/>
      <c r="H183" s="16"/>
    </row>
    <row r="184" ht="15.75" customHeight="1">
      <c r="B184" s="16"/>
      <c r="C184" s="16"/>
      <c r="D184" s="16"/>
      <c r="E184" s="16"/>
      <c r="F184" s="16"/>
      <c r="G184" s="16"/>
      <c r="H184" s="16"/>
    </row>
    <row r="185" ht="15.75" customHeight="1">
      <c r="B185" s="16"/>
      <c r="C185" s="16"/>
      <c r="D185" s="16"/>
      <c r="E185" s="16"/>
      <c r="F185" s="16"/>
      <c r="G185" s="16"/>
      <c r="H185" s="16"/>
    </row>
    <row r="186" ht="15.75" customHeight="1">
      <c r="B186" s="16"/>
      <c r="C186" s="16"/>
      <c r="D186" s="16"/>
      <c r="E186" s="16"/>
      <c r="F186" s="16"/>
      <c r="G186" s="16"/>
      <c r="H186" s="16"/>
    </row>
    <row r="187" ht="15.75" customHeight="1">
      <c r="B187" s="16"/>
      <c r="C187" s="16"/>
      <c r="D187" s="16"/>
      <c r="E187" s="16"/>
      <c r="F187" s="16"/>
      <c r="G187" s="16"/>
      <c r="H187" s="16"/>
    </row>
    <row r="188" ht="15.75" customHeight="1">
      <c r="B188" s="16"/>
      <c r="C188" s="16"/>
      <c r="D188" s="16"/>
      <c r="E188" s="16"/>
      <c r="F188" s="16"/>
      <c r="G188" s="16"/>
      <c r="H188" s="16"/>
    </row>
    <row r="189" ht="15.75" customHeight="1">
      <c r="B189" s="16"/>
      <c r="C189" s="16"/>
      <c r="D189" s="16"/>
      <c r="E189" s="16"/>
      <c r="F189" s="16"/>
      <c r="G189" s="16"/>
      <c r="H189" s="16"/>
    </row>
    <row r="190" ht="15.75" customHeight="1">
      <c r="B190" s="16"/>
      <c r="C190" s="16"/>
      <c r="D190" s="16"/>
      <c r="E190" s="16"/>
      <c r="F190" s="16"/>
      <c r="G190" s="16"/>
      <c r="H190" s="16"/>
    </row>
    <row r="191" ht="15.75" customHeight="1">
      <c r="B191" s="16"/>
      <c r="C191" s="16"/>
      <c r="D191" s="16"/>
      <c r="E191" s="16"/>
      <c r="F191" s="16"/>
      <c r="G191" s="16"/>
      <c r="H191" s="16"/>
    </row>
    <row r="192" ht="15.75" customHeight="1">
      <c r="B192" s="16"/>
      <c r="C192" s="16"/>
      <c r="D192" s="16"/>
      <c r="E192" s="16"/>
      <c r="F192" s="16"/>
      <c r="G192" s="16"/>
      <c r="H192" s="16"/>
    </row>
    <row r="193" ht="15.75" customHeight="1">
      <c r="B193" s="16"/>
      <c r="C193" s="16"/>
      <c r="D193" s="16"/>
      <c r="E193" s="16"/>
      <c r="F193" s="16"/>
      <c r="G193" s="16"/>
      <c r="H193" s="16"/>
    </row>
    <row r="194" ht="15.75" customHeight="1">
      <c r="B194" s="16"/>
      <c r="C194" s="16"/>
      <c r="D194" s="16"/>
      <c r="E194" s="16"/>
      <c r="F194" s="16"/>
      <c r="G194" s="16"/>
      <c r="H194" s="16"/>
    </row>
    <row r="195" ht="15.75" customHeight="1">
      <c r="B195" s="16"/>
      <c r="C195" s="16"/>
      <c r="D195" s="16"/>
      <c r="E195" s="16"/>
      <c r="F195" s="16"/>
      <c r="G195" s="16"/>
      <c r="H195" s="16"/>
    </row>
    <row r="196" ht="15.75" customHeight="1">
      <c r="B196" s="16"/>
      <c r="C196" s="16"/>
      <c r="D196" s="16"/>
      <c r="E196" s="16"/>
      <c r="F196" s="16"/>
      <c r="G196" s="16"/>
      <c r="H196" s="16"/>
    </row>
    <row r="197" ht="15.75" customHeight="1">
      <c r="B197" s="16"/>
      <c r="C197" s="16"/>
      <c r="D197" s="16"/>
      <c r="E197" s="16"/>
      <c r="F197" s="16"/>
      <c r="G197" s="16"/>
      <c r="H197" s="16"/>
    </row>
    <row r="198" ht="15.75" customHeight="1">
      <c r="B198" s="16"/>
      <c r="C198" s="16"/>
      <c r="D198" s="16"/>
      <c r="E198" s="16"/>
      <c r="F198" s="16"/>
      <c r="G198" s="16"/>
      <c r="H198" s="16"/>
    </row>
    <row r="199" ht="15.75" customHeight="1">
      <c r="B199" s="16"/>
      <c r="C199" s="16"/>
      <c r="D199" s="16"/>
      <c r="E199" s="16"/>
      <c r="F199" s="16"/>
      <c r="G199" s="16"/>
      <c r="H199" s="16"/>
    </row>
    <row r="200" ht="15.75" customHeight="1">
      <c r="B200" s="16"/>
      <c r="C200" s="16"/>
      <c r="D200" s="16"/>
      <c r="E200" s="16"/>
      <c r="F200" s="16"/>
      <c r="G200" s="16"/>
      <c r="H200" s="16"/>
    </row>
    <row r="201" ht="15.75" customHeight="1">
      <c r="B201" s="16"/>
      <c r="C201" s="16"/>
      <c r="D201" s="16"/>
      <c r="E201" s="16"/>
      <c r="F201" s="16"/>
      <c r="G201" s="16"/>
      <c r="H201" s="16"/>
    </row>
    <row r="202" ht="15.75" customHeight="1">
      <c r="B202" s="16"/>
      <c r="C202" s="16"/>
      <c r="D202" s="16"/>
      <c r="E202" s="16"/>
      <c r="F202" s="16"/>
      <c r="G202" s="16"/>
      <c r="H202" s="16"/>
    </row>
    <row r="203" ht="15.75" customHeight="1">
      <c r="B203" s="16"/>
      <c r="C203" s="16"/>
      <c r="D203" s="16"/>
      <c r="E203" s="16"/>
      <c r="F203" s="16"/>
      <c r="G203" s="16"/>
      <c r="H203" s="16"/>
    </row>
    <row r="204" ht="15.75" customHeight="1">
      <c r="B204" s="16"/>
      <c r="C204" s="16"/>
      <c r="D204" s="16"/>
      <c r="E204" s="16"/>
      <c r="F204" s="16"/>
      <c r="G204" s="16"/>
      <c r="H204" s="16"/>
    </row>
    <row r="205" ht="15.75" customHeight="1">
      <c r="B205" s="16"/>
      <c r="C205" s="16"/>
      <c r="D205" s="16"/>
      <c r="E205" s="16"/>
      <c r="F205" s="16"/>
      <c r="G205" s="16"/>
      <c r="H205" s="16"/>
    </row>
    <row r="206" ht="15.75" customHeight="1">
      <c r="B206" s="16"/>
      <c r="C206" s="16"/>
      <c r="D206" s="16"/>
      <c r="E206" s="16"/>
      <c r="F206" s="16"/>
      <c r="G206" s="16"/>
      <c r="H206" s="16"/>
    </row>
    <row r="207" ht="15.75" customHeight="1">
      <c r="B207" s="16"/>
      <c r="C207" s="16"/>
      <c r="D207" s="16"/>
      <c r="E207" s="16"/>
      <c r="F207" s="16"/>
      <c r="G207" s="16"/>
      <c r="H207" s="16"/>
    </row>
    <row r="208" ht="15.75" customHeight="1">
      <c r="B208" s="16"/>
      <c r="C208" s="16"/>
      <c r="D208" s="16"/>
      <c r="E208" s="16"/>
      <c r="F208" s="16"/>
      <c r="G208" s="16"/>
      <c r="H208" s="16"/>
    </row>
    <row r="209" ht="15.75" customHeight="1">
      <c r="B209" s="16"/>
      <c r="C209" s="16"/>
      <c r="D209" s="16"/>
      <c r="E209" s="16"/>
      <c r="F209" s="16"/>
      <c r="G209" s="16"/>
      <c r="H209" s="16"/>
    </row>
    <row r="210" ht="15.75" customHeight="1">
      <c r="B210" s="16"/>
      <c r="C210" s="16"/>
      <c r="D210" s="16"/>
      <c r="E210" s="16"/>
      <c r="F210" s="16"/>
      <c r="G210" s="16"/>
      <c r="H210" s="16"/>
    </row>
    <row r="211" ht="15.75" customHeight="1">
      <c r="B211" s="16"/>
      <c r="C211" s="16"/>
      <c r="D211" s="16"/>
      <c r="E211" s="16"/>
      <c r="F211" s="16"/>
      <c r="G211" s="16"/>
      <c r="H211" s="16"/>
    </row>
    <row r="212" ht="15.75" customHeight="1">
      <c r="B212" s="16"/>
      <c r="C212" s="16"/>
      <c r="D212" s="16"/>
      <c r="E212" s="16"/>
      <c r="F212" s="16"/>
      <c r="G212" s="16"/>
      <c r="H212" s="16"/>
    </row>
    <row r="213" ht="15.75" customHeight="1">
      <c r="B213" s="16"/>
      <c r="C213" s="16"/>
      <c r="D213" s="16"/>
      <c r="E213" s="16"/>
      <c r="F213" s="16"/>
      <c r="G213" s="16"/>
      <c r="H213" s="16"/>
    </row>
    <row r="214" ht="15.75" customHeight="1">
      <c r="B214" s="16"/>
      <c r="C214" s="16"/>
      <c r="D214" s="16"/>
      <c r="E214" s="16"/>
      <c r="F214" s="16"/>
      <c r="G214" s="16"/>
      <c r="H214" s="16"/>
    </row>
    <row r="215" ht="15.75" customHeight="1">
      <c r="B215" s="16"/>
      <c r="C215" s="16"/>
      <c r="D215" s="16"/>
      <c r="E215" s="16"/>
      <c r="F215" s="16"/>
      <c r="G215" s="16"/>
      <c r="H215" s="16"/>
    </row>
    <row r="216" ht="15.75" customHeight="1">
      <c r="B216" s="16"/>
      <c r="C216" s="16"/>
      <c r="D216" s="16"/>
      <c r="E216" s="16"/>
      <c r="F216" s="16"/>
      <c r="G216" s="16"/>
      <c r="H216" s="16"/>
    </row>
    <row r="217" ht="15.75" customHeight="1">
      <c r="B217" s="16"/>
      <c r="C217" s="16"/>
      <c r="D217" s="16"/>
      <c r="E217" s="16"/>
      <c r="F217" s="16"/>
      <c r="G217" s="16"/>
      <c r="H217" s="16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26.0"/>
    <col customWidth="1" min="3" max="3" width="24.0"/>
    <col customWidth="1" min="4" max="4" width="25.88"/>
    <col customWidth="1" min="5" max="5" width="12.5"/>
    <col customWidth="1" min="6" max="6" width="18.88"/>
    <col customWidth="1" min="7" max="7" width="15.75"/>
    <col customWidth="1" min="8" max="25" width="12.5"/>
  </cols>
  <sheetData>
    <row r="1" ht="15.75" customHeight="1">
      <c r="A1" s="22" t="str">
        <f>Data!B24</f>
        <v>Tabel 5.1 Jumlah Perangkat Desa di Desa Sanur Kaja, 2022-2024 (jiwa)</v>
      </c>
      <c r="B1" s="91"/>
      <c r="C1" s="91"/>
      <c r="D1" s="91"/>
    </row>
    <row r="2" ht="15.75" customHeight="1">
      <c r="A2" s="5" t="s">
        <v>97</v>
      </c>
      <c r="B2" s="11">
        <v>2022.0</v>
      </c>
      <c r="C2" s="11">
        <v>2023.0</v>
      </c>
      <c r="D2" s="11">
        <v>2024.0</v>
      </c>
    </row>
    <row r="3" ht="15.75" customHeight="1">
      <c r="A3" s="2" t="s">
        <v>160</v>
      </c>
      <c r="B3" s="32">
        <v>1.0</v>
      </c>
      <c r="C3" s="32">
        <v>1.0</v>
      </c>
      <c r="D3" s="32">
        <v>1.0</v>
      </c>
      <c r="E3" s="106"/>
    </row>
    <row r="4" ht="15.75" customHeight="1">
      <c r="A4" s="2" t="s">
        <v>161</v>
      </c>
      <c r="B4" s="32">
        <v>1.0</v>
      </c>
      <c r="C4" s="32">
        <v>1.0</v>
      </c>
      <c r="D4" s="32">
        <v>1.0</v>
      </c>
      <c r="E4" s="106"/>
    </row>
    <row r="5" ht="15.75" customHeight="1">
      <c r="A5" s="2" t="s">
        <v>162</v>
      </c>
      <c r="B5" s="32">
        <v>3.0</v>
      </c>
      <c r="C5" s="32">
        <v>3.0</v>
      </c>
      <c r="D5" s="32">
        <v>3.0</v>
      </c>
      <c r="E5" s="106"/>
    </row>
    <row r="6" ht="15.75" customHeight="1">
      <c r="A6" s="2" t="s">
        <v>163</v>
      </c>
      <c r="B6" s="32">
        <v>3.0</v>
      </c>
      <c r="C6" s="32">
        <v>3.0</v>
      </c>
      <c r="D6" s="32">
        <v>3.0</v>
      </c>
      <c r="E6" s="106"/>
    </row>
    <row r="7" ht="15.75" customHeight="1">
      <c r="A7" s="2" t="s">
        <v>164</v>
      </c>
      <c r="B7" s="32">
        <v>8.0</v>
      </c>
      <c r="C7" s="32">
        <v>8.0</v>
      </c>
      <c r="D7" s="32">
        <v>8.0</v>
      </c>
      <c r="E7" s="106"/>
    </row>
    <row r="8" ht="15.75" customHeight="1">
      <c r="A8" s="4" t="s">
        <v>43</v>
      </c>
      <c r="B8" s="16"/>
      <c r="C8" s="16"/>
      <c r="D8" s="16"/>
    </row>
    <row r="9" ht="15.75" customHeight="1">
      <c r="B9" s="16"/>
      <c r="C9" s="16"/>
      <c r="D9" s="16"/>
    </row>
    <row r="10" ht="15.75" customHeight="1">
      <c r="B10" s="16"/>
      <c r="C10" s="16"/>
      <c r="D10" s="16"/>
    </row>
    <row r="11" ht="15.75" customHeight="1">
      <c r="A11" s="22" t="str">
        <f>Data!B25</f>
        <v>Tabel 5.2 APB Desa Sanur Kaja, 2022-2024 (Rupiah)</v>
      </c>
      <c r="B11" s="91"/>
      <c r="C11" s="91"/>
      <c r="D11" s="91"/>
    </row>
    <row r="12" ht="15.75" customHeight="1">
      <c r="A12" s="5"/>
      <c r="B12" s="11">
        <v>2022.0</v>
      </c>
      <c r="C12" s="11">
        <v>2023.0</v>
      </c>
      <c r="D12" s="11">
        <v>2024.0</v>
      </c>
      <c r="E12" s="107"/>
    </row>
    <row r="13" ht="15.75" customHeight="1">
      <c r="A13" s="5" t="s">
        <v>165</v>
      </c>
      <c r="B13" s="108">
        <v>5.27462100042E9</v>
      </c>
      <c r="C13" s="108">
        <v>8.23249238816E9</v>
      </c>
      <c r="D13" s="108">
        <v>9.11671904616E9</v>
      </c>
      <c r="E13" s="107"/>
    </row>
    <row r="14" ht="15.75" customHeight="1">
      <c r="A14" s="5" t="s">
        <v>166</v>
      </c>
      <c r="B14" s="90"/>
      <c r="C14" s="90"/>
      <c r="D14" s="90"/>
      <c r="E14" s="107"/>
      <c r="F14" s="48" t="s">
        <v>167</v>
      </c>
    </row>
    <row r="15" ht="15.75" customHeight="1">
      <c r="A15" s="2" t="s">
        <v>168</v>
      </c>
      <c r="B15" s="108">
        <v>2.92278228233E9</v>
      </c>
      <c r="C15" s="108">
        <v>2.98228466E9</v>
      </c>
      <c r="D15" s="108">
        <v>1.044658612197E10</v>
      </c>
      <c r="E15" s="107"/>
    </row>
    <row r="16" ht="15.75" customHeight="1">
      <c r="A16" s="2" t="s">
        <v>169</v>
      </c>
      <c r="B16" s="108">
        <v>2.03435529755E9</v>
      </c>
      <c r="C16" s="108">
        <v>1.3173621E9</v>
      </c>
      <c r="D16" s="108">
        <v>1.3797625E9</v>
      </c>
      <c r="E16" s="107"/>
    </row>
    <row r="17" ht="15.75" customHeight="1">
      <c r="A17" s="2" t="s">
        <v>170</v>
      </c>
      <c r="B17" s="108">
        <v>9.6796395231E8</v>
      </c>
      <c r="C17" s="108">
        <v>1.08525796374E9</v>
      </c>
      <c r="D17" s="108">
        <v>1.39968776156E9</v>
      </c>
      <c r="E17" s="107"/>
    </row>
    <row r="18" ht="15.75" customHeight="1">
      <c r="A18" s="2" t="s">
        <v>171</v>
      </c>
      <c r="B18" s="108">
        <v>1.7756579411E8</v>
      </c>
      <c r="C18" s="108">
        <v>1.093392E8</v>
      </c>
      <c r="D18" s="108">
        <v>2.16407E8</v>
      </c>
      <c r="E18" s="107"/>
    </row>
    <row r="19" ht="15.75" customHeight="1">
      <c r="A19" s="2" t="s">
        <v>172</v>
      </c>
      <c r="B19" s="108">
        <v>3.1631977043E8</v>
      </c>
      <c r="C19" s="108">
        <v>1.0152654613E8</v>
      </c>
      <c r="D19" s="108">
        <v>3.789815664E7</v>
      </c>
      <c r="E19" s="109"/>
    </row>
    <row r="20" ht="15.75" customHeight="1">
      <c r="A20" s="5" t="s">
        <v>173</v>
      </c>
      <c r="B20" s="110">
        <f t="shared" ref="B20:D20" si="1">sum(B15+B16+B17+B18+B19)</f>
        <v>6418987097</v>
      </c>
      <c r="C20" s="110">
        <f t="shared" si="1"/>
        <v>5595770470</v>
      </c>
      <c r="D20" s="110">
        <f t="shared" si="1"/>
        <v>13480341540</v>
      </c>
      <c r="E20" s="107"/>
    </row>
    <row r="21" ht="15.75" customHeight="1">
      <c r="A21" s="4" t="s">
        <v>43</v>
      </c>
      <c r="B21" s="111"/>
      <c r="C21" s="16"/>
      <c r="D21" s="16"/>
    </row>
    <row r="22" ht="15.75" customHeight="1">
      <c r="B22" s="16"/>
      <c r="C22" s="16"/>
      <c r="D22" s="16"/>
    </row>
    <row r="23" ht="15.75" customHeight="1">
      <c r="A23" s="18"/>
      <c r="B23" s="16"/>
      <c r="C23" s="16"/>
      <c r="D23" s="16"/>
    </row>
    <row r="24" ht="15.75" customHeight="1">
      <c r="A24" s="1" t="str">
        <f>Data!B26</f>
        <v>Tabel 5.3 Jumlah Produk Hukum di Desa Sanur Kaja, 2022-2024</v>
      </c>
      <c r="B24" s="16"/>
      <c r="C24" s="16"/>
      <c r="D24" s="16"/>
    </row>
    <row r="25" ht="15.75" customHeight="1">
      <c r="A25" s="112" t="s">
        <v>174</v>
      </c>
      <c r="B25" s="113">
        <v>2022.0</v>
      </c>
      <c r="C25" s="113">
        <v>2023.0</v>
      </c>
      <c r="D25" s="113">
        <v>2024.0</v>
      </c>
    </row>
    <row r="26" ht="15.75" customHeight="1">
      <c r="A26" s="114" t="s">
        <v>175</v>
      </c>
      <c r="B26" s="115">
        <v>15.0</v>
      </c>
      <c r="C26" s="115">
        <v>7.0</v>
      </c>
      <c r="D26" s="115">
        <v>7.0</v>
      </c>
      <c r="E26" s="14"/>
    </row>
    <row r="27" ht="15.75" customHeight="1">
      <c r="A27" s="102" t="s">
        <v>176</v>
      </c>
      <c r="B27" s="103">
        <v>16.0</v>
      </c>
      <c r="C27" s="103">
        <v>7.0</v>
      </c>
      <c r="D27" s="103">
        <v>5.0</v>
      </c>
      <c r="E27" s="14"/>
    </row>
    <row r="28" ht="15.75" customHeight="1">
      <c r="A28" s="102" t="s">
        <v>177</v>
      </c>
      <c r="B28" s="103">
        <v>111.0</v>
      </c>
      <c r="C28" s="103">
        <v>100.0</v>
      </c>
      <c r="D28" s="103">
        <v>106.0</v>
      </c>
      <c r="E28" s="14"/>
    </row>
    <row r="29" ht="15.75" customHeight="1">
      <c r="A29" s="4" t="s">
        <v>43</v>
      </c>
      <c r="B29" s="16"/>
      <c r="C29" s="16"/>
      <c r="D29" s="16"/>
    </row>
    <row r="30" ht="15.75" customHeight="1">
      <c r="B30" s="16"/>
      <c r="C30" s="16"/>
      <c r="D30" s="16"/>
    </row>
    <row r="31" ht="15.75" customHeight="1">
      <c r="B31" s="16"/>
      <c r="C31" s="16"/>
      <c r="D31" s="16"/>
    </row>
    <row r="32" ht="15.75" customHeight="1">
      <c r="B32" s="16"/>
      <c r="C32" s="16"/>
      <c r="D32" s="16"/>
    </row>
    <row r="33" ht="15.75" customHeight="1">
      <c r="B33" s="16"/>
      <c r="C33" s="16"/>
      <c r="D33" s="16"/>
    </row>
    <row r="34" ht="15.75" customHeight="1">
      <c r="B34" s="16"/>
      <c r="C34" s="16"/>
      <c r="D34" s="16"/>
    </row>
    <row r="35" ht="15.75" customHeight="1">
      <c r="B35" s="16"/>
      <c r="C35" s="16"/>
      <c r="D35" s="16"/>
    </row>
    <row r="36" ht="15.75" customHeight="1">
      <c r="B36" s="16"/>
      <c r="C36" s="16"/>
      <c r="D36" s="16"/>
    </row>
    <row r="37" ht="15.75" customHeight="1">
      <c r="B37" s="16"/>
      <c r="C37" s="16"/>
      <c r="D37" s="16"/>
    </row>
    <row r="38" ht="15.75" customHeight="1">
      <c r="B38" s="16"/>
      <c r="C38" s="16"/>
      <c r="D38" s="16"/>
    </row>
    <row r="39" ht="15.75" customHeight="1">
      <c r="B39" s="16"/>
      <c r="C39" s="16"/>
      <c r="D39" s="16"/>
    </row>
    <row r="40" ht="15.75" customHeight="1">
      <c r="B40" s="16"/>
      <c r="C40" s="16"/>
      <c r="D40" s="16"/>
    </row>
    <row r="41" ht="15.75" customHeight="1">
      <c r="B41" s="16"/>
      <c r="C41" s="16"/>
      <c r="D41" s="16"/>
    </row>
    <row r="42" ht="15.75" customHeight="1">
      <c r="B42" s="16"/>
      <c r="C42" s="16"/>
      <c r="D42" s="16"/>
    </row>
    <row r="43" ht="15.75" customHeight="1">
      <c r="B43" s="16"/>
      <c r="C43" s="16"/>
      <c r="D43" s="16"/>
    </row>
    <row r="44" ht="15.75" customHeight="1">
      <c r="B44" s="16"/>
      <c r="C44" s="16"/>
      <c r="D44" s="16"/>
    </row>
    <row r="45" ht="15.75" customHeight="1">
      <c r="B45" s="16"/>
      <c r="C45" s="16"/>
      <c r="D45" s="16"/>
    </row>
    <row r="46" ht="15.75" customHeight="1">
      <c r="B46" s="16"/>
      <c r="C46" s="16"/>
      <c r="D46" s="16"/>
    </row>
    <row r="47" ht="15.75" customHeight="1">
      <c r="B47" s="16"/>
      <c r="C47" s="16"/>
      <c r="D47" s="16"/>
    </row>
    <row r="48" ht="15.75" customHeight="1">
      <c r="B48" s="16"/>
      <c r="C48" s="16"/>
      <c r="D48" s="16"/>
    </row>
    <row r="49" ht="15.75" customHeight="1">
      <c r="B49" s="16"/>
      <c r="C49" s="16"/>
      <c r="D49" s="16"/>
    </row>
    <row r="50" ht="15.75" customHeight="1">
      <c r="B50" s="16"/>
      <c r="C50" s="16"/>
      <c r="D50" s="16"/>
    </row>
    <row r="51" ht="15.75" customHeight="1">
      <c r="B51" s="16"/>
      <c r="C51" s="16"/>
      <c r="D51" s="16"/>
    </row>
    <row r="52" ht="15.75" customHeight="1">
      <c r="B52" s="16"/>
      <c r="C52" s="16"/>
      <c r="D52" s="16"/>
    </row>
    <row r="53" ht="15.75" customHeight="1">
      <c r="B53" s="16"/>
      <c r="C53" s="16"/>
      <c r="D53" s="16"/>
    </row>
    <row r="54" ht="15.75" customHeight="1">
      <c r="B54" s="16"/>
      <c r="C54" s="16"/>
      <c r="D54" s="16"/>
    </row>
    <row r="55" ht="15.75" customHeight="1">
      <c r="B55" s="16"/>
      <c r="C55" s="16"/>
      <c r="D55" s="16"/>
    </row>
    <row r="56" ht="15.75" customHeight="1">
      <c r="B56" s="16"/>
      <c r="C56" s="16"/>
      <c r="D56" s="16"/>
    </row>
    <row r="57" ht="15.75" customHeight="1">
      <c r="B57" s="16"/>
      <c r="C57" s="16"/>
      <c r="D57" s="16"/>
    </row>
    <row r="58" ht="15.75" customHeight="1">
      <c r="B58" s="16"/>
      <c r="C58" s="16"/>
      <c r="D58" s="16"/>
    </row>
    <row r="59" ht="15.75" customHeight="1">
      <c r="B59" s="16"/>
      <c r="C59" s="16"/>
      <c r="D59" s="16"/>
    </row>
    <row r="60" ht="15.75" customHeight="1">
      <c r="B60" s="16"/>
      <c r="C60" s="16"/>
      <c r="D60" s="16"/>
    </row>
    <row r="61" ht="15.75" customHeight="1">
      <c r="B61" s="16"/>
      <c r="C61" s="16"/>
      <c r="D61" s="16"/>
    </row>
    <row r="62" ht="15.75" customHeight="1">
      <c r="B62" s="16"/>
      <c r="C62" s="16"/>
      <c r="D62" s="16"/>
    </row>
    <row r="63" ht="15.75" customHeight="1">
      <c r="B63" s="16"/>
      <c r="C63" s="16"/>
      <c r="D63" s="16"/>
    </row>
    <row r="64" ht="15.75" customHeight="1">
      <c r="B64" s="16"/>
      <c r="C64" s="16"/>
      <c r="D64" s="16"/>
    </row>
    <row r="65" ht="15.75" customHeight="1">
      <c r="B65" s="16"/>
      <c r="C65" s="16"/>
      <c r="D65" s="16"/>
    </row>
    <row r="66" ht="15.75" customHeight="1">
      <c r="B66" s="16"/>
      <c r="C66" s="16"/>
      <c r="D66" s="16"/>
    </row>
    <row r="67" ht="15.75" customHeight="1">
      <c r="B67" s="16"/>
      <c r="C67" s="16"/>
      <c r="D67" s="16"/>
    </row>
    <row r="68" ht="15.75" customHeight="1">
      <c r="B68" s="16"/>
      <c r="C68" s="16"/>
      <c r="D68" s="16"/>
    </row>
    <row r="69" ht="15.75" customHeight="1">
      <c r="B69" s="16"/>
      <c r="C69" s="16"/>
      <c r="D69" s="16"/>
    </row>
    <row r="70" ht="15.75" customHeight="1">
      <c r="B70" s="16"/>
      <c r="C70" s="16"/>
      <c r="D70" s="16"/>
    </row>
    <row r="71" ht="15.75" customHeight="1">
      <c r="B71" s="16"/>
      <c r="C71" s="16"/>
      <c r="D71" s="16"/>
    </row>
    <row r="72" ht="15.75" customHeight="1">
      <c r="B72" s="16"/>
      <c r="C72" s="16"/>
      <c r="D72" s="16"/>
    </row>
    <row r="73" ht="15.75" customHeight="1">
      <c r="B73" s="16"/>
      <c r="C73" s="16"/>
      <c r="D73" s="16"/>
    </row>
    <row r="74" ht="15.75" customHeight="1">
      <c r="B74" s="16"/>
      <c r="C74" s="16"/>
      <c r="D74" s="16"/>
    </row>
    <row r="75" ht="15.75" customHeight="1">
      <c r="B75" s="16"/>
      <c r="C75" s="16"/>
      <c r="D75" s="16"/>
    </row>
    <row r="76" ht="15.75" customHeight="1">
      <c r="B76" s="16"/>
      <c r="C76" s="16"/>
      <c r="D76" s="16"/>
    </row>
    <row r="77" ht="15.75" customHeight="1">
      <c r="B77" s="16"/>
      <c r="C77" s="16"/>
      <c r="D77" s="16"/>
    </row>
    <row r="78" ht="15.75" customHeight="1">
      <c r="B78" s="16"/>
      <c r="C78" s="16"/>
      <c r="D78" s="16"/>
    </row>
    <row r="79" ht="15.75" customHeight="1">
      <c r="B79" s="16"/>
      <c r="C79" s="16"/>
      <c r="D79" s="16"/>
    </row>
    <row r="80" ht="15.75" customHeight="1">
      <c r="B80" s="16"/>
      <c r="C80" s="16"/>
      <c r="D80" s="16"/>
    </row>
    <row r="81" ht="15.75" customHeight="1">
      <c r="B81" s="16"/>
      <c r="C81" s="16"/>
      <c r="D81" s="16"/>
    </row>
    <row r="82" ht="15.75" customHeight="1">
      <c r="B82" s="16"/>
      <c r="C82" s="16"/>
      <c r="D82" s="16"/>
    </row>
    <row r="83" ht="15.75" customHeight="1">
      <c r="B83" s="16"/>
      <c r="C83" s="16"/>
      <c r="D83" s="16"/>
    </row>
    <row r="84" ht="15.75" customHeight="1">
      <c r="B84" s="16"/>
      <c r="C84" s="16"/>
      <c r="D84" s="16"/>
    </row>
    <row r="85" ht="15.75" customHeight="1">
      <c r="B85" s="16"/>
      <c r="C85" s="16"/>
      <c r="D85" s="16"/>
    </row>
    <row r="86" ht="15.75" customHeight="1">
      <c r="B86" s="16"/>
      <c r="C86" s="16"/>
      <c r="D86" s="16"/>
    </row>
    <row r="87" ht="15.75" customHeight="1">
      <c r="B87" s="16"/>
      <c r="C87" s="16"/>
      <c r="D87" s="16"/>
    </row>
    <row r="88" ht="15.75" customHeight="1">
      <c r="B88" s="16"/>
      <c r="C88" s="16"/>
      <c r="D88" s="16"/>
    </row>
    <row r="89" ht="15.75" customHeight="1">
      <c r="B89" s="16"/>
      <c r="C89" s="16"/>
      <c r="D89" s="16"/>
    </row>
    <row r="90" ht="15.75" customHeight="1">
      <c r="B90" s="16"/>
      <c r="C90" s="16"/>
      <c r="D90" s="16"/>
    </row>
    <row r="91" ht="15.75" customHeight="1">
      <c r="B91" s="16"/>
      <c r="C91" s="16"/>
      <c r="D91" s="16"/>
    </row>
    <row r="92" ht="15.75" customHeight="1">
      <c r="B92" s="16"/>
      <c r="C92" s="16"/>
      <c r="D92" s="16"/>
    </row>
    <row r="93" ht="15.75" customHeight="1">
      <c r="B93" s="16"/>
      <c r="C93" s="16"/>
      <c r="D93" s="16"/>
    </row>
    <row r="94" ht="15.75" customHeight="1">
      <c r="B94" s="16"/>
      <c r="C94" s="16"/>
      <c r="D94" s="16"/>
    </row>
    <row r="95" ht="15.75" customHeight="1">
      <c r="B95" s="16"/>
      <c r="C95" s="16"/>
      <c r="D95" s="16"/>
    </row>
    <row r="96" ht="15.75" customHeight="1">
      <c r="B96" s="16"/>
      <c r="C96" s="16"/>
      <c r="D96" s="16"/>
    </row>
    <row r="97" ht="15.75" customHeight="1">
      <c r="B97" s="16"/>
      <c r="C97" s="16"/>
      <c r="D97" s="16"/>
    </row>
    <row r="98" ht="15.75" customHeight="1">
      <c r="B98" s="16"/>
      <c r="C98" s="16"/>
      <c r="D98" s="16"/>
    </row>
    <row r="99" ht="15.75" customHeight="1">
      <c r="B99" s="16"/>
      <c r="C99" s="16"/>
      <c r="D99" s="16"/>
    </row>
    <row r="100" ht="15.75" customHeight="1">
      <c r="B100" s="16"/>
      <c r="C100" s="16"/>
      <c r="D100" s="16"/>
    </row>
    <row r="101" ht="15.75" customHeight="1">
      <c r="B101" s="16"/>
      <c r="C101" s="16"/>
      <c r="D101" s="16"/>
    </row>
    <row r="102" ht="15.75" customHeight="1">
      <c r="B102" s="16"/>
      <c r="C102" s="16"/>
      <c r="D102" s="16"/>
    </row>
    <row r="103" ht="15.75" customHeight="1">
      <c r="B103" s="16"/>
      <c r="C103" s="16"/>
      <c r="D103" s="16"/>
    </row>
    <row r="104" ht="15.75" customHeight="1">
      <c r="B104" s="16"/>
      <c r="C104" s="16"/>
      <c r="D104" s="16"/>
    </row>
    <row r="105" ht="15.75" customHeight="1">
      <c r="B105" s="16"/>
      <c r="C105" s="16"/>
      <c r="D105" s="16"/>
    </row>
    <row r="106" ht="15.75" customHeight="1">
      <c r="B106" s="16"/>
      <c r="C106" s="16"/>
      <c r="D106" s="16"/>
    </row>
    <row r="107" ht="15.75" customHeight="1">
      <c r="B107" s="16"/>
      <c r="C107" s="16"/>
      <c r="D107" s="16"/>
    </row>
    <row r="108" ht="15.75" customHeight="1">
      <c r="B108" s="16"/>
      <c r="C108" s="16"/>
      <c r="D108" s="16"/>
    </row>
    <row r="109" ht="15.75" customHeight="1">
      <c r="B109" s="16"/>
      <c r="C109" s="16"/>
      <c r="D109" s="16"/>
    </row>
    <row r="110" ht="15.75" customHeight="1">
      <c r="B110" s="16"/>
      <c r="C110" s="16"/>
      <c r="D110" s="16"/>
    </row>
    <row r="111" ht="15.75" customHeight="1">
      <c r="B111" s="16"/>
      <c r="C111" s="16"/>
      <c r="D111" s="16"/>
    </row>
    <row r="112" ht="15.75" customHeight="1">
      <c r="B112" s="16"/>
      <c r="C112" s="16"/>
      <c r="D112" s="16"/>
    </row>
    <row r="113" ht="15.75" customHeight="1">
      <c r="B113" s="16"/>
      <c r="C113" s="16"/>
      <c r="D113" s="16"/>
    </row>
    <row r="114" ht="15.75" customHeight="1">
      <c r="B114" s="16"/>
      <c r="C114" s="16"/>
      <c r="D114" s="16"/>
    </row>
    <row r="115" ht="15.75" customHeight="1">
      <c r="B115" s="16"/>
      <c r="C115" s="16"/>
      <c r="D115" s="16"/>
    </row>
    <row r="116" ht="15.75" customHeight="1">
      <c r="B116" s="16"/>
      <c r="C116" s="16"/>
      <c r="D116" s="16"/>
    </row>
    <row r="117" ht="15.75" customHeight="1">
      <c r="B117" s="16"/>
      <c r="C117" s="16"/>
      <c r="D117" s="16"/>
    </row>
    <row r="118" ht="15.75" customHeight="1">
      <c r="B118" s="16"/>
      <c r="C118" s="16"/>
      <c r="D118" s="16"/>
    </row>
    <row r="119" ht="15.75" customHeight="1">
      <c r="B119" s="16"/>
      <c r="C119" s="16"/>
      <c r="D119" s="16"/>
    </row>
    <row r="120" ht="15.75" customHeight="1">
      <c r="B120" s="16"/>
      <c r="C120" s="16"/>
      <c r="D120" s="16"/>
    </row>
    <row r="121" ht="15.75" customHeight="1">
      <c r="B121" s="16"/>
      <c r="C121" s="16"/>
      <c r="D121" s="16"/>
    </row>
    <row r="122" ht="15.75" customHeight="1">
      <c r="B122" s="16"/>
      <c r="C122" s="16"/>
      <c r="D122" s="16"/>
    </row>
    <row r="123" ht="15.75" customHeight="1">
      <c r="B123" s="16"/>
      <c r="C123" s="16"/>
      <c r="D123" s="16"/>
    </row>
    <row r="124" ht="15.75" customHeight="1">
      <c r="B124" s="16"/>
      <c r="C124" s="16"/>
      <c r="D124" s="16"/>
    </row>
    <row r="125" ht="15.75" customHeight="1">
      <c r="B125" s="16"/>
      <c r="C125" s="16"/>
      <c r="D125" s="16"/>
    </row>
    <row r="126" ht="15.75" customHeight="1">
      <c r="B126" s="16"/>
      <c r="C126" s="16"/>
      <c r="D126" s="16"/>
    </row>
    <row r="127" ht="15.75" customHeight="1">
      <c r="B127" s="16"/>
      <c r="C127" s="16"/>
      <c r="D127" s="16"/>
    </row>
    <row r="128" ht="15.75" customHeight="1">
      <c r="B128" s="16"/>
      <c r="C128" s="16"/>
      <c r="D128" s="16"/>
    </row>
    <row r="129" ht="15.75" customHeight="1">
      <c r="B129" s="16"/>
      <c r="C129" s="16"/>
      <c r="D129" s="16"/>
    </row>
    <row r="130" ht="15.75" customHeight="1">
      <c r="B130" s="16"/>
      <c r="C130" s="16"/>
      <c r="D130" s="16"/>
    </row>
    <row r="131" ht="15.75" customHeight="1">
      <c r="B131" s="16"/>
      <c r="C131" s="16"/>
      <c r="D131" s="16"/>
    </row>
    <row r="132" ht="15.75" customHeight="1">
      <c r="B132" s="16"/>
      <c r="C132" s="16"/>
      <c r="D132" s="16"/>
    </row>
    <row r="133" ht="15.75" customHeight="1">
      <c r="B133" s="16"/>
      <c r="C133" s="16"/>
      <c r="D133" s="16"/>
    </row>
    <row r="134" ht="15.75" customHeight="1">
      <c r="B134" s="16"/>
      <c r="C134" s="16"/>
      <c r="D134" s="16"/>
    </row>
    <row r="135" ht="15.75" customHeight="1">
      <c r="B135" s="16"/>
      <c r="C135" s="16"/>
      <c r="D135" s="16"/>
    </row>
    <row r="136" ht="15.75" customHeight="1">
      <c r="B136" s="16"/>
      <c r="C136" s="16"/>
      <c r="D136" s="16"/>
    </row>
    <row r="137" ht="15.75" customHeight="1">
      <c r="B137" s="16"/>
      <c r="C137" s="16"/>
      <c r="D137" s="16"/>
    </row>
    <row r="138" ht="15.75" customHeight="1">
      <c r="B138" s="16"/>
      <c r="C138" s="16"/>
      <c r="D138" s="16"/>
    </row>
    <row r="139" ht="15.75" customHeight="1">
      <c r="B139" s="16"/>
      <c r="C139" s="16"/>
      <c r="D139" s="16"/>
    </row>
    <row r="140" ht="15.75" customHeight="1">
      <c r="B140" s="16"/>
      <c r="C140" s="16"/>
      <c r="D140" s="16"/>
    </row>
    <row r="141" ht="15.75" customHeight="1">
      <c r="B141" s="16"/>
      <c r="C141" s="16"/>
      <c r="D141" s="16"/>
    </row>
    <row r="142" ht="15.75" customHeight="1">
      <c r="B142" s="16"/>
      <c r="C142" s="16"/>
      <c r="D142" s="16"/>
    </row>
    <row r="143" ht="15.75" customHeight="1">
      <c r="B143" s="16"/>
      <c r="C143" s="16"/>
      <c r="D143" s="16"/>
    </row>
    <row r="144" ht="15.75" customHeight="1">
      <c r="B144" s="16"/>
      <c r="C144" s="16"/>
      <c r="D144" s="16"/>
    </row>
    <row r="145" ht="15.75" customHeight="1">
      <c r="B145" s="16"/>
      <c r="C145" s="16"/>
      <c r="D145" s="16"/>
    </row>
    <row r="146" ht="15.75" customHeight="1">
      <c r="B146" s="16"/>
      <c r="C146" s="16"/>
      <c r="D146" s="16"/>
    </row>
    <row r="147" ht="15.75" customHeight="1">
      <c r="B147" s="16"/>
      <c r="C147" s="16"/>
      <c r="D147" s="16"/>
    </row>
    <row r="148" ht="15.75" customHeight="1">
      <c r="B148" s="16"/>
      <c r="C148" s="16"/>
      <c r="D148" s="16"/>
    </row>
    <row r="149" ht="15.75" customHeight="1">
      <c r="B149" s="16"/>
      <c r="C149" s="16"/>
      <c r="D149" s="16"/>
    </row>
    <row r="150" ht="15.75" customHeight="1">
      <c r="B150" s="16"/>
      <c r="C150" s="16"/>
      <c r="D150" s="16"/>
    </row>
    <row r="151" ht="15.75" customHeight="1">
      <c r="B151" s="16"/>
      <c r="C151" s="16"/>
      <c r="D151" s="16"/>
    </row>
    <row r="152" ht="15.75" customHeight="1">
      <c r="B152" s="16"/>
      <c r="C152" s="16"/>
      <c r="D152" s="16"/>
    </row>
    <row r="153" ht="15.75" customHeight="1">
      <c r="B153" s="16"/>
      <c r="C153" s="16"/>
      <c r="D153" s="16"/>
    </row>
    <row r="154" ht="15.75" customHeight="1">
      <c r="B154" s="16"/>
      <c r="C154" s="16"/>
      <c r="D154" s="16"/>
    </row>
    <row r="155" ht="15.75" customHeight="1">
      <c r="B155" s="16"/>
      <c r="C155" s="16"/>
      <c r="D155" s="16"/>
    </row>
    <row r="156" ht="15.75" customHeight="1">
      <c r="B156" s="16"/>
      <c r="C156" s="16"/>
      <c r="D156" s="16"/>
    </row>
    <row r="157" ht="15.75" customHeight="1">
      <c r="B157" s="16"/>
      <c r="C157" s="16"/>
      <c r="D157" s="16"/>
    </row>
    <row r="158" ht="15.75" customHeight="1">
      <c r="B158" s="16"/>
      <c r="C158" s="16"/>
      <c r="D158" s="16"/>
    </row>
    <row r="159" ht="15.75" customHeight="1">
      <c r="B159" s="16"/>
      <c r="C159" s="16"/>
      <c r="D159" s="16"/>
    </row>
    <row r="160" ht="15.75" customHeight="1">
      <c r="B160" s="16"/>
      <c r="C160" s="16"/>
      <c r="D160" s="16"/>
    </row>
    <row r="161" ht="15.75" customHeight="1">
      <c r="B161" s="16"/>
      <c r="C161" s="16"/>
      <c r="D161" s="16"/>
    </row>
    <row r="162" ht="15.75" customHeight="1">
      <c r="B162" s="16"/>
      <c r="C162" s="16"/>
      <c r="D162" s="16"/>
    </row>
    <row r="163" ht="15.75" customHeight="1">
      <c r="B163" s="16"/>
      <c r="C163" s="16"/>
      <c r="D163" s="16"/>
    </row>
    <row r="164" ht="15.75" customHeight="1">
      <c r="B164" s="16"/>
      <c r="C164" s="16"/>
      <c r="D164" s="16"/>
    </row>
    <row r="165" ht="15.75" customHeight="1">
      <c r="B165" s="16"/>
      <c r="C165" s="16"/>
      <c r="D165" s="16"/>
    </row>
    <row r="166" ht="15.75" customHeight="1">
      <c r="B166" s="16"/>
      <c r="C166" s="16"/>
      <c r="D166" s="16"/>
    </row>
    <row r="167" ht="15.75" customHeight="1">
      <c r="B167" s="16"/>
      <c r="C167" s="16"/>
      <c r="D167" s="16"/>
    </row>
    <row r="168" ht="15.75" customHeight="1">
      <c r="B168" s="16"/>
      <c r="C168" s="16"/>
      <c r="D168" s="16"/>
    </row>
    <row r="169" ht="15.75" customHeight="1">
      <c r="B169" s="16"/>
      <c r="C169" s="16"/>
      <c r="D169" s="16"/>
    </row>
    <row r="170" ht="15.75" customHeight="1">
      <c r="B170" s="16"/>
      <c r="C170" s="16"/>
      <c r="D170" s="16"/>
    </row>
    <row r="171" ht="15.75" customHeight="1">
      <c r="B171" s="16"/>
      <c r="C171" s="16"/>
      <c r="D171" s="16"/>
    </row>
    <row r="172" ht="15.75" customHeight="1">
      <c r="B172" s="16"/>
      <c r="C172" s="16"/>
      <c r="D172" s="16"/>
    </row>
    <row r="173" ht="15.75" customHeight="1">
      <c r="B173" s="16"/>
      <c r="C173" s="16"/>
      <c r="D173" s="16"/>
    </row>
    <row r="174" ht="15.75" customHeight="1">
      <c r="B174" s="16"/>
      <c r="C174" s="16"/>
      <c r="D174" s="16"/>
    </row>
    <row r="175" ht="15.75" customHeight="1">
      <c r="B175" s="16"/>
      <c r="C175" s="16"/>
      <c r="D175" s="16"/>
    </row>
    <row r="176" ht="15.75" customHeight="1">
      <c r="B176" s="16"/>
      <c r="C176" s="16"/>
      <c r="D176" s="16"/>
    </row>
    <row r="177" ht="15.75" customHeight="1">
      <c r="B177" s="16"/>
      <c r="C177" s="16"/>
      <c r="D177" s="16"/>
    </row>
    <row r="178" ht="15.75" customHeight="1">
      <c r="B178" s="16"/>
      <c r="C178" s="16"/>
      <c r="D178" s="16"/>
    </row>
    <row r="179" ht="15.75" customHeight="1">
      <c r="B179" s="16"/>
      <c r="C179" s="16"/>
      <c r="D179" s="16"/>
    </row>
    <row r="180" ht="15.75" customHeight="1">
      <c r="B180" s="16"/>
      <c r="C180" s="16"/>
      <c r="D180" s="16"/>
    </row>
    <row r="181" ht="15.75" customHeight="1">
      <c r="B181" s="16"/>
      <c r="C181" s="16"/>
      <c r="D181" s="16"/>
    </row>
    <row r="182" ht="15.75" customHeight="1">
      <c r="B182" s="16"/>
      <c r="C182" s="16"/>
      <c r="D182" s="16"/>
    </row>
    <row r="183" ht="15.75" customHeight="1">
      <c r="B183" s="16"/>
      <c r="C183" s="16"/>
      <c r="D183" s="16"/>
    </row>
    <row r="184" ht="15.75" customHeight="1">
      <c r="B184" s="16"/>
      <c r="C184" s="16"/>
      <c r="D184" s="16"/>
    </row>
    <row r="185" ht="15.75" customHeight="1">
      <c r="B185" s="16"/>
      <c r="C185" s="16"/>
      <c r="D185" s="16"/>
    </row>
    <row r="186" ht="15.75" customHeight="1">
      <c r="B186" s="16"/>
      <c r="C186" s="16"/>
      <c r="D186" s="16"/>
    </row>
    <row r="187" ht="15.75" customHeight="1">
      <c r="B187" s="16"/>
      <c r="C187" s="16"/>
      <c r="D187" s="16"/>
    </row>
    <row r="188" ht="15.75" customHeight="1">
      <c r="B188" s="16"/>
      <c r="C188" s="16"/>
      <c r="D188" s="16"/>
    </row>
    <row r="189" ht="15.75" customHeight="1">
      <c r="B189" s="16"/>
      <c r="C189" s="16"/>
      <c r="D189" s="16"/>
    </row>
    <row r="190" ht="15.75" customHeight="1">
      <c r="B190" s="16"/>
      <c r="C190" s="16"/>
      <c r="D190" s="16"/>
    </row>
    <row r="191" ht="15.75" customHeight="1">
      <c r="B191" s="16"/>
      <c r="C191" s="16"/>
      <c r="D191" s="16"/>
    </row>
    <row r="192" ht="15.75" customHeight="1">
      <c r="B192" s="16"/>
      <c r="C192" s="16"/>
      <c r="D192" s="16"/>
    </row>
    <row r="193" ht="15.75" customHeight="1">
      <c r="B193" s="16"/>
      <c r="C193" s="16"/>
      <c r="D193" s="16"/>
    </row>
    <row r="194" ht="15.75" customHeight="1">
      <c r="B194" s="16"/>
      <c r="C194" s="16"/>
      <c r="D194" s="16"/>
    </row>
    <row r="195" ht="15.75" customHeight="1">
      <c r="B195" s="16"/>
      <c r="C195" s="16"/>
      <c r="D195" s="16"/>
    </row>
    <row r="196" ht="15.75" customHeight="1">
      <c r="B196" s="16"/>
      <c r="C196" s="16"/>
      <c r="D196" s="16"/>
    </row>
    <row r="197" ht="15.75" customHeight="1">
      <c r="B197" s="16"/>
      <c r="C197" s="16"/>
      <c r="D197" s="16"/>
    </row>
    <row r="198" ht="15.75" customHeight="1">
      <c r="B198" s="16"/>
      <c r="C198" s="16"/>
      <c r="D198" s="16"/>
    </row>
    <row r="199" ht="15.75" customHeight="1">
      <c r="B199" s="16"/>
      <c r="C199" s="16"/>
      <c r="D199" s="16"/>
    </row>
    <row r="200" ht="15.75" customHeight="1">
      <c r="B200" s="16"/>
      <c r="C200" s="16"/>
      <c r="D200" s="16"/>
    </row>
    <row r="201" ht="15.75" customHeight="1">
      <c r="B201" s="16"/>
      <c r="C201" s="16"/>
      <c r="D201" s="16"/>
    </row>
    <row r="202" ht="15.75" customHeight="1">
      <c r="B202" s="16"/>
      <c r="C202" s="16"/>
      <c r="D202" s="16"/>
    </row>
    <row r="203" ht="15.75" customHeight="1">
      <c r="B203" s="16"/>
      <c r="C203" s="16"/>
      <c r="D203" s="16"/>
    </row>
    <row r="204" ht="15.75" customHeight="1">
      <c r="B204" s="16"/>
      <c r="C204" s="16"/>
      <c r="D204" s="16"/>
    </row>
    <row r="205" ht="15.75" customHeight="1">
      <c r="B205" s="16"/>
      <c r="C205" s="16"/>
      <c r="D205" s="16"/>
    </row>
    <row r="206" ht="15.75" customHeight="1">
      <c r="B206" s="16"/>
      <c r="C206" s="16"/>
      <c r="D206" s="16"/>
    </row>
    <row r="207" ht="15.75" customHeight="1">
      <c r="B207" s="16"/>
      <c r="C207" s="16"/>
      <c r="D207" s="16"/>
    </row>
    <row r="208" ht="15.75" customHeight="1">
      <c r="B208" s="16"/>
      <c r="C208" s="16"/>
      <c r="D208" s="16"/>
    </row>
    <row r="209" ht="15.75" customHeight="1">
      <c r="B209" s="16"/>
      <c r="C209" s="16"/>
      <c r="D209" s="16"/>
    </row>
    <row r="210" ht="15.75" customHeight="1">
      <c r="B210" s="16"/>
      <c r="C210" s="16"/>
      <c r="D210" s="16"/>
    </row>
    <row r="211" ht="15.75" customHeight="1">
      <c r="B211" s="16"/>
      <c r="C211" s="16"/>
      <c r="D211" s="16"/>
    </row>
    <row r="212" ht="15.75" customHeight="1">
      <c r="B212" s="16"/>
      <c r="C212" s="16"/>
      <c r="D212" s="16"/>
    </row>
    <row r="213" ht="15.75" customHeight="1">
      <c r="B213" s="16"/>
      <c r="C213" s="16"/>
      <c r="D213" s="16"/>
    </row>
    <row r="214" ht="15.75" customHeight="1">
      <c r="B214" s="16"/>
      <c r="C214" s="16"/>
      <c r="D214" s="16"/>
    </row>
    <row r="215" ht="15.75" customHeight="1">
      <c r="B215" s="16"/>
      <c r="C215" s="16"/>
      <c r="D215" s="16"/>
    </row>
    <row r="216" ht="15.75" customHeight="1">
      <c r="B216" s="16"/>
      <c r="C216" s="16"/>
      <c r="D216" s="16"/>
    </row>
    <row r="217" ht="15.75" customHeight="1">
      <c r="B217" s="16"/>
      <c r="C217" s="16"/>
      <c r="D217" s="16"/>
    </row>
    <row r="218" ht="15.75" customHeight="1">
      <c r="B218" s="16"/>
      <c r="C218" s="16"/>
      <c r="D218" s="16"/>
    </row>
    <row r="219" ht="15.75" customHeight="1">
      <c r="B219" s="16"/>
      <c r="C219" s="16"/>
      <c r="D219" s="16"/>
    </row>
    <row r="220" ht="15.75" customHeight="1">
      <c r="B220" s="16"/>
      <c r="C220" s="16"/>
      <c r="D220" s="16"/>
    </row>
    <row r="221" ht="15.75" customHeight="1">
      <c r="B221" s="16"/>
      <c r="C221" s="16"/>
      <c r="D221" s="16"/>
    </row>
    <row r="222" ht="15.75" customHeight="1">
      <c r="B222" s="16"/>
      <c r="C222" s="16"/>
      <c r="D222" s="16"/>
    </row>
    <row r="223" ht="15.75" customHeight="1">
      <c r="B223" s="16"/>
      <c r="C223" s="16"/>
      <c r="D223" s="16"/>
    </row>
    <row r="224" ht="15.75" customHeight="1">
      <c r="B224" s="16"/>
      <c r="C224" s="16"/>
      <c r="D224" s="16"/>
    </row>
    <row r="225" ht="15.75" customHeight="1">
      <c r="B225" s="16"/>
      <c r="C225" s="16"/>
      <c r="D225" s="16"/>
    </row>
    <row r="226" ht="15.75" customHeight="1">
      <c r="B226" s="16"/>
      <c r="C226" s="16"/>
      <c r="D226" s="16"/>
    </row>
    <row r="227" ht="15.75" customHeight="1">
      <c r="B227" s="16"/>
      <c r="C227" s="16"/>
      <c r="D227" s="16"/>
    </row>
    <row r="228" ht="15.75" customHeight="1">
      <c r="B228" s="16"/>
      <c r="C228" s="16"/>
      <c r="D228" s="16"/>
    </row>
    <row r="229" ht="15.75" customHeight="1">
      <c r="B229" s="16"/>
      <c r="C229" s="16"/>
      <c r="D229" s="1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2.63"/>
    <col customWidth="1" min="3" max="3" width="24.13"/>
    <col customWidth="1" min="4" max="4" width="24.5"/>
  </cols>
  <sheetData>
    <row r="1">
      <c r="A1" s="48" t="s">
        <v>178</v>
      </c>
    </row>
    <row r="2">
      <c r="A2" s="116"/>
      <c r="B2" s="116"/>
      <c r="C2" s="116"/>
      <c r="D2" s="116"/>
    </row>
    <row r="3">
      <c r="A3" s="117" t="s">
        <v>179</v>
      </c>
      <c r="B3" s="118" t="s">
        <v>180</v>
      </c>
      <c r="C3" s="118" t="s">
        <v>181</v>
      </c>
      <c r="D3" s="118" t="s">
        <v>182</v>
      </c>
    </row>
    <row r="4">
      <c r="A4" s="117">
        <v>1.0</v>
      </c>
      <c r="B4" s="117" t="s">
        <v>183</v>
      </c>
      <c r="C4" s="119">
        <v>360.0</v>
      </c>
      <c r="D4" s="119">
        <v>0.0</v>
      </c>
    </row>
    <row r="5">
      <c r="A5" s="117">
        <v>2.0</v>
      </c>
      <c r="B5" s="117" t="s">
        <v>184</v>
      </c>
      <c r="C5" s="119">
        <v>216.0</v>
      </c>
      <c r="D5" s="119">
        <v>0.0</v>
      </c>
    </row>
    <row r="6">
      <c r="A6" s="117">
        <v>3.0</v>
      </c>
      <c r="B6" s="117" t="s">
        <v>185</v>
      </c>
      <c r="C6" s="119">
        <v>108.0</v>
      </c>
      <c r="D6" s="119">
        <v>0.0</v>
      </c>
    </row>
    <row r="7">
      <c r="A7" s="117">
        <v>4.0</v>
      </c>
      <c r="B7" s="117" t="s">
        <v>186</v>
      </c>
      <c r="C7" s="119">
        <v>82.0</v>
      </c>
      <c r="D7" s="119">
        <v>0.0</v>
      </c>
    </row>
    <row r="8">
      <c r="A8" s="117">
        <v>5.0</v>
      </c>
      <c r="B8" s="117" t="s">
        <v>187</v>
      </c>
      <c r="C8" s="119">
        <v>252.0</v>
      </c>
      <c r="D8" s="119">
        <v>0.0</v>
      </c>
    </row>
    <row r="9">
      <c r="A9" s="117">
        <v>6.0</v>
      </c>
      <c r="B9" s="117" t="s">
        <v>188</v>
      </c>
      <c r="C9" s="119">
        <v>16.0</v>
      </c>
      <c r="D9" s="119">
        <v>16.0</v>
      </c>
    </row>
    <row r="10">
      <c r="A10" s="117">
        <v>7.0</v>
      </c>
      <c r="B10" s="117" t="s">
        <v>189</v>
      </c>
      <c r="C10" s="119">
        <v>36.0</v>
      </c>
      <c r="D10" s="119">
        <v>0.0</v>
      </c>
    </row>
    <row r="11">
      <c r="A11" s="117">
        <v>8.0</v>
      </c>
      <c r="B11" s="117" t="s">
        <v>190</v>
      </c>
      <c r="C11" s="119">
        <v>6.0</v>
      </c>
      <c r="D11" s="119">
        <v>1.0</v>
      </c>
    </row>
    <row r="12">
      <c r="A12" s="117">
        <v>9.0</v>
      </c>
      <c r="B12" s="117" t="s">
        <v>191</v>
      </c>
      <c r="C12" s="119">
        <v>48.0</v>
      </c>
      <c r="D12" s="119">
        <v>0.0</v>
      </c>
    </row>
    <row r="13">
      <c r="A13" s="117">
        <v>10.0</v>
      </c>
      <c r="B13" s="117" t="s">
        <v>192</v>
      </c>
      <c r="C13" s="119">
        <v>48.0</v>
      </c>
      <c r="D13" s="119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43.5"/>
    <col customWidth="1" min="3" max="3" width="15.13"/>
    <col customWidth="1" min="4" max="4" width="16.63"/>
    <col customWidth="1" min="5" max="26" width="12.5"/>
  </cols>
  <sheetData>
    <row r="1" ht="15.75" customHeight="1">
      <c r="A1" s="120"/>
      <c r="B1" s="120"/>
      <c r="C1" s="120"/>
      <c r="D1" s="4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21" t="s">
        <v>179</v>
      </c>
      <c r="B2" s="121" t="s">
        <v>193</v>
      </c>
      <c r="C2" s="122" t="s">
        <v>194</v>
      </c>
      <c r="D2" s="1" t="s">
        <v>195</v>
      </c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20"/>
      <c r="B3" s="123" t="s">
        <v>196</v>
      </c>
      <c r="C3" s="120"/>
      <c r="D3" s="4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24">
        <v>1.0</v>
      </c>
      <c r="B4" s="120" t="s">
        <v>197</v>
      </c>
      <c r="C4" s="124"/>
      <c r="D4" s="4" t="b">
        <v>1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24"/>
      <c r="B5" s="120" t="s">
        <v>198</v>
      </c>
      <c r="C5" s="125"/>
      <c r="D5" s="4" t="b">
        <v>1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24">
        <v>2.0</v>
      </c>
      <c r="B6" s="120" t="s">
        <v>199</v>
      </c>
      <c r="C6" s="120">
        <v>2023.0</v>
      </c>
      <c r="D6" s="4" t="b">
        <v>0</v>
      </c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20"/>
      <c r="B7" s="123" t="s">
        <v>200</v>
      </c>
      <c r="C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124">
        <v>3.0</v>
      </c>
      <c r="B8" s="120" t="s">
        <v>201</v>
      </c>
      <c r="C8" s="120">
        <v>2021.0</v>
      </c>
      <c r="D8" s="4" t="b">
        <v>0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24">
        <v>4.0</v>
      </c>
      <c r="B9" s="120" t="s">
        <v>202</v>
      </c>
      <c r="C9" s="120"/>
      <c r="D9" s="4" t="b">
        <v>0</v>
      </c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24">
        <v>5.0</v>
      </c>
      <c r="B10" s="122" t="s">
        <v>203</v>
      </c>
      <c r="C10" s="120"/>
      <c r="D10" s="4" t="b">
        <v>0</v>
      </c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20"/>
      <c r="B11" s="120" t="s">
        <v>204</v>
      </c>
      <c r="C11" s="120"/>
      <c r="D11" s="4" t="b">
        <v>0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20"/>
      <c r="B12" s="120" t="s">
        <v>205</v>
      </c>
      <c r="C12" s="120"/>
      <c r="D12" s="4" t="b">
        <v>0</v>
      </c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20"/>
      <c r="B13" s="120" t="s">
        <v>206</v>
      </c>
      <c r="C13" s="120"/>
      <c r="D13" s="4" t="b">
        <v>0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120"/>
      <c r="B14" s="120" t="s">
        <v>207</v>
      </c>
      <c r="C14" s="120"/>
      <c r="D14" s="4" t="b">
        <v>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20"/>
      <c r="B15" s="120" t="s">
        <v>208</v>
      </c>
      <c r="C15" s="120"/>
      <c r="D15" s="4" t="b">
        <v>0</v>
      </c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20"/>
      <c r="B16" s="120" t="s">
        <v>209</v>
      </c>
      <c r="C16" s="120"/>
      <c r="D16" s="4" t="b">
        <v>0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20"/>
      <c r="B17" s="120" t="s">
        <v>210</v>
      </c>
      <c r="C17" s="120"/>
      <c r="D17" s="4" t="b">
        <v>0</v>
      </c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20"/>
      <c r="B18" s="120" t="s">
        <v>211</v>
      </c>
      <c r="C18" s="120"/>
      <c r="D18" s="4" t="b">
        <v>0</v>
      </c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20"/>
      <c r="B19" s="120" t="s">
        <v>212</v>
      </c>
      <c r="C19" s="120"/>
      <c r="D19" s="4" t="b">
        <v>0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20"/>
      <c r="B20" s="120" t="s">
        <v>213</v>
      </c>
      <c r="C20" s="120"/>
      <c r="D20" s="4" t="b">
        <v>0</v>
      </c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20"/>
      <c r="B21" s="123" t="s">
        <v>214</v>
      </c>
      <c r="C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24">
        <v>6.0</v>
      </c>
      <c r="B22" s="120" t="s">
        <v>215</v>
      </c>
      <c r="C22" s="120"/>
      <c r="D22" s="4" t="b">
        <v>0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24">
        <v>7.0</v>
      </c>
      <c r="B23" s="120" t="s">
        <v>216</v>
      </c>
      <c r="C23" s="120">
        <v>2023.0</v>
      </c>
      <c r="D23" s="4" t="b">
        <v>0</v>
      </c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24">
        <v>8.0</v>
      </c>
      <c r="B24" s="122" t="s">
        <v>217</v>
      </c>
      <c r="C24" s="120"/>
      <c r="D24" s="4" t="b">
        <v>0</v>
      </c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20"/>
      <c r="B25" s="120" t="s">
        <v>218</v>
      </c>
      <c r="C25" s="120"/>
      <c r="D25" s="4" t="b">
        <v>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20"/>
      <c r="B26" s="120" t="s">
        <v>219</v>
      </c>
      <c r="C26" s="120"/>
      <c r="D26" s="4" t="b">
        <v>0</v>
      </c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20"/>
      <c r="B27" s="120" t="s">
        <v>220</v>
      </c>
      <c r="C27" s="120"/>
      <c r="D27" s="4" t="b">
        <v>0</v>
      </c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20"/>
      <c r="B28" s="120" t="s">
        <v>221</v>
      </c>
      <c r="C28" s="120"/>
      <c r="D28" s="4" t="b">
        <v>0</v>
      </c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 t="s">
        <v>222</v>
      </c>
      <c r="C29" s="120"/>
      <c r="D29" s="4" t="b">
        <v>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 t="s">
        <v>204</v>
      </c>
      <c r="C30" s="120"/>
      <c r="D30" s="4" t="b">
        <v>0</v>
      </c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 t="s">
        <v>208</v>
      </c>
      <c r="C31" s="120"/>
      <c r="D31" s="4" t="b">
        <v>0</v>
      </c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 t="s">
        <v>223</v>
      </c>
      <c r="C32" s="120"/>
      <c r="D32" s="4" t="b">
        <v>0</v>
      </c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20"/>
      <c r="B33" s="120" t="s">
        <v>224</v>
      </c>
      <c r="C33" s="120"/>
      <c r="D33" s="4" t="b">
        <v>0</v>
      </c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0"/>
      <c r="B34" s="120" t="s">
        <v>225</v>
      </c>
      <c r="C34" s="120"/>
      <c r="D34" s="4" t="b">
        <v>0</v>
      </c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0"/>
      <c r="B35" s="123" t="s">
        <v>226</v>
      </c>
      <c r="C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4">
        <v>9.0</v>
      </c>
      <c r="B36" s="120" t="s">
        <v>227</v>
      </c>
      <c r="C36" s="120">
        <v>2023.0</v>
      </c>
      <c r="D36" s="4" t="b">
        <v>0</v>
      </c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24">
        <v>10.0</v>
      </c>
      <c r="B37" s="120" t="s">
        <v>228</v>
      </c>
      <c r="C37" s="120"/>
      <c r="D37" s="4" t="b">
        <v>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4">
        <v>11.0</v>
      </c>
      <c r="B38" s="120" t="s">
        <v>229</v>
      </c>
      <c r="C38" s="120"/>
      <c r="D38" s="4" t="b">
        <v>0</v>
      </c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4">
        <v>12.0</v>
      </c>
      <c r="B39" s="122" t="s">
        <v>230</v>
      </c>
      <c r="C39" s="120">
        <v>2023.0</v>
      </c>
      <c r="D39" s="4" t="b">
        <v>0</v>
      </c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4"/>
      <c r="B40" s="120" t="s">
        <v>231</v>
      </c>
      <c r="C40" s="120"/>
      <c r="D40" s="4" t="b">
        <v>0</v>
      </c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4"/>
      <c r="B41" s="120" t="s">
        <v>232</v>
      </c>
      <c r="C41" s="120"/>
      <c r="D41" s="4" t="b">
        <v>0</v>
      </c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4"/>
      <c r="B42" s="120" t="s">
        <v>233</v>
      </c>
      <c r="C42" s="120"/>
      <c r="D42" s="4" t="b">
        <v>0</v>
      </c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4">
        <v>13.0</v>
      </c>
      <c r="B43" s="120" t="s">
        <v>234</v>
      </c>
      <c r="C43" s="120"/>
      <c r="D43" s="4" t="b">
        <v>0</v>
      </c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3" t="s">
        <v>235</v>
      </c>
      <c r="C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4">
        <v>14.0</v>
      </c>
      <c r="B45" s="120" t="s">
        <v>236</v>
      </c>
      <c r="C45" s="120"/>
      <c r="D45" s="4" t="b">
        <v>0</v>
      </c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4">
        <v>15.0</v>
      </c>
      <c r="B46" s="120" t="s">
        <v>237</v>
      </c>
      <c r="C46" s="120">
        <v>2023.0</v>
      </c>
      <c r="D46" s="4" t="b">
        <v>0</v>
      </c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4">
        <v>16.0</v>
      </c>
      <c r="B47" s="120" t="s">
        <v>238</v>
      </c>
      <c r="C47" s="120"/>
      <c r="D47" s="4" t="b">
        <v>0</v>
      </c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4">
        <v>17.0</v>
      </c>
      <c r="B48" s="120" t="s">
        <v>239</v>
      </c>
      <c r="C48" s="120">
        <v>2023.0</v>
      </c>
      <c r="D48" s="4" t="b">
        <v>0</v>
      </c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3" t="s">
        <v>240</v>
      </c>
      <c r="C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4">
        <v>18.0</v>
      </c>
      <c r="B50" s="120" t="s">
        <v>241</v>
      </c>
      <c r="C50" s="120"/>
      <c r="D50" s="4" t="b">
        <v>0</v>
      </c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4">
        <v>19.0</v>
      </c>
      <c r="B51" s="120" t="s">
        <v>242</v>
      </c>
      <c r="C51" s="120"/>
      <c r="D51" s="4" t="b">
        <v>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4">
        <v>20.0</v>
      </c>
      <c r="B52" s="120" t="s">
        <v>243</v>
      </c>
      <c r="C52" s="120">
        <v>2023.0</v>
      </c>
      <c r="D52" s="4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4">
        <v>21.0</v>
      </c>
      <c r="B53" s="120" t="s">
        <v>244</v>
      </c>
      <c r="C53" s="120"/>
      <c r="D53" s="4" t="b">
        <v>0</v>
      </c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4">
        <v>22.0</v>
      </c>
      <c r="B54" s="120" t="s">
        <v>245</v>
      </c>
      <c r="C54" s="120"/>
      <c r="D54" s="4" t="b">
        <v>0</v>
      </c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4">
        <v>23.0</v>
      </c>
      <c r="B55" s="120" t="s">
        <v>246</v>
      </c>
      <c r="C55" s="120"/>
      <c r="D55" s="4" t="b">
        <v>0</v>
      </c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4">
        <v>24.0</v>
      </c>
      <c r="B56" s="120" t="s">
        <v>247</v>
      </c>
      <c r="C56" s="120"/>
      <c r="D56" s="4" t="b">
        <v>0</v>
      </c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4">
        <v>25.0</v>
      </c>
      <c r="B57" s="120" t="s">
        <v>248</v>
      </c>
      <c r="C57" s="120"/>
      <c r="D57" s="4" t="b">
        <v>0</v>
      </c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4">
        <v>26.0</v>
      </c>
      <c r="B58" s="120" t="s">
        <v>249</v>
      </c>
      <c r="C58" s="120"/>
      <c r="D58" s="4" t="b">
        <v>0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4">
        <v>27.0</v>
      </c>
      <c r="B59" s="120" t="s">
        <v>250</v>
      </c>
      <c r="C59" s="120"/>
      <c r="D59" s="4" t="b">
        <v>0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4">
        <v>28.0</v>
      </c>
      <c r="B60" s="120" t="s">
        <v>251</v>
      </c>
      <c r="C60" s="120"/>
      <c r="D60" s="4" t="b">
        <v>0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4">
        <v>29.0</v>
      </c>
      <c r="B61" s="120" t="s">
        <v>252</v>
      </c>
      <c r="C61" s="120"/>
      <c r="D61" s="4" t="b">
        <v>0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4">
        <v>30.0</v>
      </c>
      <c r="B62" s="122" t="s">
        <v>253</v>
      </c>
      <c r="C62" s="120"/>
      <c r="D62" s="4" t="b">
        <v>0</v>
      </c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4">
        <v>31.0</v>
      </c>
      <c r="B63" s="122" t="s">
        <v>254</v>
      </c>
      <c r="C63" s="120"/>
      <c r="D63" s="4" t="b">
        <v>0</v>
      </c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3" t="s">
        <v>255</v>
      </c>
      <c r="C64" s="120"/>
      <c r="D64" s="4" t="b">
        <v>0</v>
      </c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4">
        <v>32.0</v>
      </c>
      <c r="B65" s="120" t="s">
        <v>256</v>
      </c>
      <c r="C65" s="120"/>
      <c r="D65" s="4" t="b">
        <v>0</v>
      </c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4">
        <v>33.0</v>
      </c>
      <c r="B66" s="120" t="s">
        <v>257</v>
      </c>
      <c r="C66" s="120"/>
      <c r="D66" s="4" t="b">
        <v>0</v>
      </c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3" t="s">
        <v>258</v>
      </c>
      <c r="C67" s="120"/>
      <c r="D67" s="4" t="b">
        <v>0</v>
      </c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4">
        <v>34.0</v>
      </c>
      <c r="B68" s="120" t="s">
        <v>259</v>
      </c>
      <c r="C68" s="120"/>
      <c r="D68" s="4" t="b">
        <v>0</v>
      </c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4">
        <v>35.0</v>
      </c>
      <c r="B69" s="120" t="s">
        <v>260</v>
      </c>
      <c r="C69" s="120"/>
      <c r="D69" s="4" t="b">
        <v>0</v>
      </c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4">
        <v>36.0</v>
      </c>
      <c r="B70" s="120" t="s">
        <v>261</v>
      </c>
      <c r="C70" s="120"/>
      <c r="D70" s="4" t="b">
        <v>0</v>
      </c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4">
        <v>37.0</v>
      </c>
      <c r="B71" s="122" t="s">
        <v>262</v>
      </c>
      <c r="C71" s="120"/>
      <c r="D71" s="4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 t="s">
        <v>263</v>
      </c>
      <c r="C72" s="120"/>
      <c r="D72" s="4" t="b">
        <v>0</v>
      </c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 t="s">
        <v>264</v>
      </c>
      <c r="C73" s="120"/>
      <c r="D73" s="4" t="b">
        <v>0</v>
      </c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 t="s">
        <v>265</v>
      </c>
      <c r="C74" s="120"/>
      <c r="D74" s="4" t="b">
        <v>0</v>
      </c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 t="s">
        <v>266</v>
      </c>
      <c r="C75" s="120"/>
      <c r="D75" s="4" t="b">
        <v>0</v>
      </c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4" t="b">
        <v>0</v>
      </c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6" t="s">
        <v>267</v>
      </c>
      <c r="C77" s="120"/>
      <c r="D77" s="4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7" t="s">
        <v>268</v>
      </c>
      <c r="C78" s="120"/>
      <c r="D78" s="4" t="b">
        <v>0</v>
      </c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7" t="s">
        <v>269</v>
      </c>
      <c r="C79" s="120"/>
      <c r="D79" s="4" t="b">
        <v>0</v>
      </c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hidden="1" customHeight="1">
      <c r="A80" s="120"/>
      <c r="B80" s="128" t="s">
        <v>270</v>
      </c>
      <c r="C80" s="120">
        <v>2023.0</v>
      </c>
      <c r="D80" s="4" t="b">
        <v>0</v>
      </c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hidden="1" customHeight="1">
      <c r="A81" s="120"/>
      <c r="B81" s="127" t="s">
        <v>271</v>
      </c>
      <c r="C81" s="120">
        <v>2023.0</v>
      </c>
      <c r="D81" s="4" t="b">
        <v>0</v>
      </c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7" t="s">
        <v>272</v>
      </c>
      <c r="C82" s="120"/>
      <c r="D82" s="4" t="b">
        <v>0</v>
      </c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7" t="s">
        <v>273</v>
      </c>
      <c r="C83" s="120"/>
      <c r="D83" s="4" t="b">
        <v>0</v>
      </c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7" t="s">
        <v>274</v>
      </c>
      <c r="C84" s="120"/>
      <c r="D84" s="4" t="b">
        <v>0</v>
      </c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hidden="1" customHeight="1">
      <c r="A85" s="120"/>
      <c r="B85" s="127" t="s">
        <v>275</v>
      </c>
      <c r="C85" s="120"/>
      <c r="D85" s="4" t="b">
        <v>1</v>
      </c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7" t="s">
        <v>31</v>
      </c>
      <c r="C86" s="120"/>
      <c r="D86" s="4" t="b">
        <v>0</v>
      </c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7"/>
      <c r="C87" s="120"/>
      <c r="D87" s="4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7"/>
      <c r="C88" s="120"/>
      <c r="D88" s="4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9" t="s">
        <v>276</v>
      </c>
      <c r="C89" s="120"/>
      <c r="D89" s="4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7" t="s">
        <v>277</v>
      </c>
      <c r="C90" s="120"/>
      <c r="D90" s="4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7" t="s">
        <v>278</v>
      </c>
      <c r="C91" s="120"/>
      <c r="D91" s="4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7" t="s">
        <v>279</v>
      </c>
      <c r="C92" s="120"/>
      <c r="D92" s="4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7" t="s">
        <v>280</v>
      </c>
      <c r="C93" s="120"/>
      <c r="D93" s="4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7" t="s">
        <v>281</v>
      </c>
      <c r="C94" s="120"/>
      <c r="D94" s="4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7" t="s">
        <v>282</v>
      </c>
      <c r="C95" s="120"/>
      <c r="D95" s="4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7" t="s">
        <v>283</v>
      </c>
      <c r="C96" s="120"/>
      <c r="D96" s="4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7" t="s">
        <v>284</v>
      </c>
      <c r="C97" s="120"/>
      <c r="D97" s="4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4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4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4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4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4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4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4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4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4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4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4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4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4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4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4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4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4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4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4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4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4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4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4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4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4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4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4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4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4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4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4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4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4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4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4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4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4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4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4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4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4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4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4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4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4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4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4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4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4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4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4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4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4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4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4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4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4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4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4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4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4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4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4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4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4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4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4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4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4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4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4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4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4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4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4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4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4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4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4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4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4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4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4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4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4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4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4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4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4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4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4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4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4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4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4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4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4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4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4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4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4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4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4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4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4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4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4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4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4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4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4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4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4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4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4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4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4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4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4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4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4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4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4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4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4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4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4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4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4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4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4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4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4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4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4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4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4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4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4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4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4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4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4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4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4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4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4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4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4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4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4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4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4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4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4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4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4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4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4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4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4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4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4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4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4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4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4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4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4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4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4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4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4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4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4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4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4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4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4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4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4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4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4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4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4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4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4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4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4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4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4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4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4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4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4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4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4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4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4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4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43.13"/>
    <col customWidth="1" hidden="1" min="3" max="3" width="5.13"/>
    <col customWidth="1" min="4" max="4" width="16.13"/>
    <col customWidth="1" min="5" max="5" width="12.5"/>
    <col customWidth="1" hidden="1" min="6" max="6" width="12.5"/>
    <col customWidth="1" min="7" max="7" width="16.63"/>
    <col customWidth="1" hidden="1" min="8" max="8" width="6.5"/>
    <col customWidth="1" min="9" max="9" width="6.13"/>
    <col customWidth="1" min="10" max="10" width="19.88"/>
    <col customWidth="1" min="11" max="26" width="12.5"/>
  </cols>
  <sheetData>
    <row r="1" ht="15.75" customHeight="1">
      <c r="B1" s="127"/>
      <c r="C1" s="4"/>
      <c r="D1" s="120"/>
      <c r="E1" s="130"/>
      <c r="F1" s="120"/>
      <c r="G1" s="4"/>
      <c r="H1" s="4"/>
      <c r="I1" s="4"/>
      <c r="J1" s="4" t="s">
        <v>285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21" t="s">
        <v>179</v>
      </c>
      <c r="B2" s="131" t="s">
        <v>286</v>
      </c>
      <c r="C2" s="4"/>
      <c r="D2" s="132" t="s">
        <v>287</v>
      </c>
      <c r="F2" s="1" t="s">
        <v>288</v>
      </c>
      <c r="G2" s="1" t="s">
        <v>195</v>
      </c>
      <c r="H2" s="1" t="s">
        <v>289</v>
      </c>
      <c r="I2" s="120"/>
      <c r="J2" s="120" t="s">
        <v>290</v>
      </c>
      <c r="K2" s="133" t="s">
        <v>291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126" t="s">
        <v>292</v>
      </c>
      <c r="C3" s="4"/>
      <c r="D3" s="4"/>
      <c r="E3" s="16"/>
      <c r="F3" s="4"/>
      <c r="G3" s="4"/>
      <c r="H3" s="4"/>
      <c r="I3" s="4"/>
      <c r="J3" s="4" t="s">
        <v>293</v>
      </c>
      <c r="K3" s="133" t="s">
        <v>294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134" t="s">
        <v>196</v>
      </c>
      <c r="C4" s="135"/>
      <c r="D4" s="4"/>
      <c r="E4" s="1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4">
        <v>1.0</v>
      </c>
      <c r="B5" s="136" t="s">
        <v>197</v>
      </c>
      <c r="C5" s="120" t="s">
        <v>295</v>
      </c>
      <c r="D5" s="120" t="s">
        <v>296</v>
      </c>
      <c r="E5" s="130" t="s">
        <v>297</v>
      </c>
      <c r="F5" s="120" t="s">
        <v>298</v>
      </c>
      <c r="G5" s="4" t="b">
        <v>0</v>
      </c>
      <c r="H5" s="4" t="b">
        <v>0</v>
      </c>
      <c r="I5" s="4"/>
      <c r="J5" s="4">
        <v>1.0</v>
      </c>
      <c r="K5" s="4" t="s">
        <v>299</v>
      </c>
      <c r="L5" s="4" t="s">
        <v>300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4"/>
      <c r="B6" s="136" t="s">
        <v>197</v>
      </c>
      <c r="C6" s="120"/>
      <c r="D6" s="4" t="s">
        <v>301</v>
      </c>
      <c r="E6" s="16" t="s">
        <v>302</v>
      </c>
      <c r="F6" s="120"/>
      <c r="G6" s="4" t="b">
        <v>1</v>
      </c>
      <c r="H6" s="4" t="b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4">
        <v>2.0</v>
      </c>
      <c r="B7" s="136" t="s">
        <v>303</v>
      </c>
      <c r="C7" s="120" t="s">
        <v>295</v>
      </c>
      <c r="D7" s="120" t="s">
        <v>296</v>
      </c>
      <c r="E7" s="130" t="s">
        <v>304</v>
      </c>
      <c r="F7" s="120" t="s">
        <v>298</v>
      </c>
      <c r="G7" s="4" t="b">
        <v>0</v>
      </c>
      <c r="H7" s="4" t="b">
        <v>0</v>
      </c>
      <c r="I7" s="4"/>
      <c r="J7" s="4">
        <v>2.0</v>
      </c>
      <c r="K7" s="4" t="s">
        <v>305</v>
      </c>
      <c r="L7" s="133" t="s">
        <v>306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136" t="s">
        <v>307</v>
      </c>
      <c r="C8" s="4"/>
      <c r="D8" s="4" t="s">
        <v>301</v>
      </c>
      <c r="E8" s="16" t="s">
        <v>302</v>
      </c>
      <c r="F8" s="120"/>
      <c r="G8" s="4" t="b">
        <v>1</v>
      </c>
      <c r="H8" s="4" t="b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>
        <v>3.0</v>
      </c>
      <c r="B9" s="136" t="s">
        <v>198</v>
      </c>
      <c r="C9" s="4"/>
      <c r="D9" s="4" t="s">
        <v>301</v>
      </c>
      <c r="E9" s="16" t="s">
        <v>302</v>
      </c>
      <c r="F9" s="120" t="s">
        <v>298</v>
      </c>
      <c r="G9" s="4" t="b">
        <v>1</v>
      </c>
      <c r="H9" s="4" t="b">
        <v>0</v>
      </c>
      <c r="I9" s="4"/>
      <c r="J9" s="4">
        <v>3.0</v>
      </c>
      <c r="K9" s="4" t="s">
        <v>308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136" t="s">
        <v>198</v>
      </c>
      <c r="C10" s="4"/>
      <c r="D10" s="4" t="s">
        <v>309</v>
      </c>
      <c r="E10" s="16">
        <v>3.1</v>
      </c>
      <c r="F10" s="120"/>
      <c r="G10" s="4" t="b">
        <v>0</v>
      </c>
      <c r="H10" s="4" t="b">
        <v>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128" t="s">
        <v>310</v>
      </c>
      <c r="C11" s="4"/>
      <c r="D11" s="4" t="s">
        <v>301</v>
      </c>
      <c r="E11" s="16" t="s">
        <v>311</v>
      </c>
      <c r="F11" s="120" t="s">
        <v>298</v>
      </c>
      <c r="G11" s="4" t="b">
        <v>1</v>
      </c>
      <c r="H11" s="4" t="b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>
        <v>4.0</v>
      </c>
      <c r="B12" s="128" t="s">
        <v>312</v>
      </c>
      <c r="C12" s="4"/>
      <c r="D12" s="4" t="s">
        <v>301</v>
      </c>
      <c r="E12" s="130" t="s">
        <v>302</v>
      </c>
      <c r="F12" s="120" t="s">
        <v>298</v>
      </c>
      <c r="G12" s="4" t="b">
        <v>1</v>
      </c>
      <c r="H12" s="4" t="b">
        <v>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128" t="s">
        <v>312</v>
      </c>
      <c r="C13" s="4"/>
      <c r="D13" s="4" t="s">
        <v>309</v>
      </c>
      <c r="E13" s="16">
        <v>3.1</v>
      </c>
      <c r="F13" s="120"/>
      <c r="G13" s="4" t="b">
        <v>0</v>
      </c>
      <c r="H13" s="4" t="b">
        <v>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134" t="s">
        <v>200</v>
      </c>
      <c r="C14" s="135"/>
      <c r="D14" s="4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4">
        <v>5.0</v>
      </c>
      <c r="B15" s="128" t="s">
        <v>313</v>
      </c>
      <c r="C15" s="120" t="s">
        <v>295</v>
      </c>
      <c r="D15" s="120" t="s">
        <v>296</v>
      </c>
      <c r="E15" s="130" t="s">
        <v>302</v>
      </c>
      <c r="F15" s="120" t="s">
        <v>298</v>
      </c>
      <c r="G15" s="4" t="b">
        <v>0</v>
      </c>
      <c r="H15" s="4" t="b"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4">
        <v>6.0</v>
      </c>
      <c r="B16" s="128" t="s">
        <v>314</v>
      </c>
      <c r="C16" s="4"/>
      <c r="D16" s="120" t="s">
        <v>296</v>
      </c>
      <c r="E16" s="130" t="s">
        <v>311</v>
      </c>
      <c r="F16" s="120" t="s">
        <v>298</v>
      </c>
      <c r="G16" s="4" t="b">
        <v>0</v>
      </c>
      <c r="H16" s="4" t="b"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4">
        <v>7.0</v>
      </c>
      <c r="B17" s="128" t="s">
        <v>315</v>
      </c>
      <c r="C17" s="4"/>
      <c r="D17" s="4" t="s">
        <v>301</v>
      </c>
      <c r="E17" s="130" t="s">
        <v>316</v>
      </c>
      <c r="F17" s="4" t="s">
        <v>317</v>
      </c>
      <c r="G17" s="4" t="b">
        <v>0</v>
      </c>
      <c r="H17" s="4" t="b"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4">
        <v>8.0</v>
      </c>
      <c r="B18" s="128" t="s">
        <v>318</v>
      </c>
      <c r="C18" s="4"/>
      <c r="D18" s="4" t="s">
        <v>301</v>
      </c>
      <c r="E18" s="130" t="s">
        <v>319</v>
      </c>
      <c r="F18" s="4" t="s">
        <v>317</v>
      </c>
      <c r="G18" s="4" t="b">
        <v>0</v>
      </c>
      <c r="H18" s="4" t="b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134" t="s">
        <v>258</v>
      </c>
      <c r="C19" s="135"/>
      <c r="D19" s="4"/>
      <c r="E19" s="1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4">
        <v>9.0</v>
      </c>
      <c r="B20" s="128" t="s">
        <v>259</v>
      </c>
      <c r="C20" s="4"/>
      <c r="D20" s="120" t="s">
        <v>296</v>
      </c>
      <c r="E20" s="130" t="s">
        <v>320</v>
      </c>
      <c r="F20" s="4" t="s">
        <v>317</v>
      </c>
      <c r="G20" s="4" t="b">
        <v>0</v>
      </c>
      <c r="H20" s="4" t="b"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4">
        <v>10.0</v>
      </c>
      <c r="B21" s="128" t="s">
        <v>321</v>
      </c>
      <c r="C21" s="4"/>
      <c r="D21" s="120" t="s">
        <v>296</v>
      </c>
      <c r="E21" s="130" t="s">
        <v>322</v>
      </c>
      <c r="F21" s="4" t="s">
        <v>317</v>
      </c>
      <c r="G21" s="4" t="b">
        <v>0</v>
      </c>
      <c r="H21" s="4" t="b"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4">
        <v>11.0</v>
      </c>
      <c r="B22" s="128" t="s">
        <v>323</v>
      </c>
      <c r="C22" s="4"/>
      <c r="D22" s="120" t="s">
        <v>296</v>
      </c>
      <c r="E22" s="130" t="s">
        <v>324</v>
      </c>
      <c r="F22" s="4" t="s">
        <v>317</v>
      </c>
      <c r="G22" s="4" t="b">
        <v>0</v>
      </c>
      <c r="H22" s="4" t="b"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134" t="s">
        <v>63</v>
      </c>
      <c r="C23" s="4"/>
      <c r="D23" s="4"/>
      <c r="E23" s="1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>
        <v>12.0</v>
      </c>
      <c r="B24" s="128" t="s">
        <v>325</v>
      </c>
      <c r="D24" s="4" t="s">
        <v>301</v>
      </c>
      <c r="E24" s="130" t="s">
        <v>326</v>
      </c>
      <c r="F24" s="4" t="s">
        <v>317</v>
      </c>
      <c r="G24" s="4" t="b">
        <v>1</v>
      </c>
      <c r="H24" s="4" t="b">
        <v>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134" t="s">
        <v>214</v>
      </c>
      <c r="C25" s="135"/>
      <c r="D25" s="4"/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4">
        <v>13.0</v>
      </c>
      <c r="B26" s="128" t="s">
        <v>327</v>
      </c>
      <c r="C26" s="4"/>
      <c r="D26" s="120" t="s">
        <v>296</v>
      </c>
      <c r="E26" s="130" t="s">
        <v>328</v>
      </c>
      <c r="F26" s="120" t="s">
        <v>329</v>
      </c>
      <c r="G26" s="4" t="b">
        <v>0</v>
      </c>
      <c r="H26" s="4" t="b">
        <v>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4">
        <v>14.0</v>
      </c>
      <c r="B27" s="128" t="s">
        <v>330</v>
      </c>
      <c r="C27" s="4"/>
      <c r="D27" s="120" t="s">
        <v>296</v>
      </c>
      <c r="E27" s="130" t="s">
        <v>25</v>
      </c>
      <c r="F27" s="120" t="s">
        <v>329</v>
      </c>
      <c r="G27" s="4" t="b">
        <v>0</v>
      </c>
      <c r="H27" s="4" t="b">
        <v>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4">
        <v>15.0</v>
      </c>
      <c r="B28" s="128" t="s">
        <v>331</v>
      </c>
      <c r="C28" s="4"/>
      <c r="D28" s="4" t="s">
        <v>301</v>
      </c>
      <c r="E28" s="130" t="s">
        <v>332</v>
      </c>
      <c r="F28" s="120" t="s">
        <v>329</v>
      </c>
      <c r="G28" s="4" t="b">
        <v>1</v>
      </c>
      <c r="H28" s="4" t="b">
        <v>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34" t="s">
        <v>226</v>
      </c>
      <c r="C29" s="135"/>
      <c r="D29" s="4"/>
      <c r="E29" s="16"/>
      <c r="F29" s="12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4">
        <v>16.0</v>
      </c>
      <c r="B30" s="128" t="s">
        <v>333</v>
      </c>
      <c r="C30" s="4"/>
      <c r="D30" s="120" t="s">
        <v>296</v>
      </c>
      <c r="E30" s="130" t="s">
        <v>334</v>
      </c>
      <c r="F30" s="120" t="s">
        <v>329</v>
      </c>
      <c r="G30" s="4" t="b">
        <v>0</v>
      </c>
      <c r="H30" s="4" t="b">
        <v>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4">
        <v>17.0</v>
      </c>
      <c r="B31" s="128" t="s">
        <v>335</v>
      </c>
      <c r="C31" s="4"/>
      <c r="D31" s="120" t="s">
        <v>296</v>
      </c>
      <c r="E31" s="130" t="s">
        <v>336</v>
      </c>
      <c r="F31" s="120" t="s">
        <v>329</v>
      </c>
      <c r="G31" s="4" t="b">
        <v>0</v>
      </c>
      <c r="H31" s="4" t="b">
        <v>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4">
        <v>18.0</v>
      </c>
      <c r="B32" s="128" t="s">
        <v>337</v>
      </c>
      <c r="C32" s="4"/>
      <c r="D32" s="120" t="s">
        <v>296</v>
      </c>
      <c r="E32" s="130" t="s">
        <v>338</v>
      </c>
      <c r="F32" s="120" t="s">
        <v>329</v>
      </c>
      <c r="G32" s="4" t="b">
        <v>0</v>
      </c>
      <c r="H32" s="4" t="b">
        <v>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34" t="s">
        <v>235</v>
      </c>
      <c r="C33" s="135"/>
      <c r="D33" s="4"/>
      <c r="E33" s="1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4">
        <v>19.0</v>
      </c>
      <c r="B34" s="128" t="s">
        <v>339</v>
      </c>
      <c r="C34" s="4"/>
      <c r="D34" s="120" t="s">
        <v>296</v>
      </c>
      <c r="E34" s="130" t="s">
        <v>340</v>
      </c>
      <c r="F34" s="120" t="s">
        <v>341</v>
      </c>
      <c r="G34" s="4" t="b">
        <v>0</v>
      </c>
      <c r="H34" s="4" t="b"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4">
        <v>20.0</v>
      </c>
      <c r="B35" s="128" t="s">
        <v>342</v>
      </c>
      <c r="C35" s="4"/>
      <c r="D35" s="120" t="s">
        <v>296</v>
      </c>
      <c r="E35" s="130" t="s">
        <v>343</v>
      </c>
      <c r="F35" s="120" t="s">
        <v>341</v>
      </c>
      <c r="G35" s="4" t="b">
        <v>0</v>
      </c>
      <c r="H35" s="4" t="b"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4">
        <v>21.0</v>
      </c>
      <c r="B36" s="128" t="s">
        <v>344</v>
      </c>
      <c r="C36" s="4"/>
      <c r="D36" s="120" t="s">
        <v>296</v>
      </c>
      <c r="E36" s="130" t="s">
        <v>345</v>
      </c>
      <c r="F36" s="4" t="s">
        <v>341</v>
      </c>
      <c r="G36" s="4" t="b">
        <v>0</v>
      </c>
      <c r="H36" s="4" t="b"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4">
        <v>22.0</v>
      </c>
      <c r="B37" s="128" t="s">
        <v>346</v>
      </c>
      <c r="C37" s="4"/>
      <c r="D37" s="120" t="s">
        <v>296</v>
      </c>
      <c r="E37" s="130" t="s">
        <v>347</v>
      </c>
      <c r="F37" s="4" t="s">
        <v>341</v>
      </c>
      <c r="G37" s="4" t="b">
        <v>0</v>
      </c>
      <c r="H37" s="4" t="b"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4">
        <v>23.0</v>
      </c>
      <c r="B38" s="128" t="s">
        <v>348</v>
      </c>
      <c r="C38" s="4"/>
      <c r="D38" s="4" t="s">
        <v>301</v>
      </c>
      <c r="E38" s="130" t="s">
        <v>349</v>
      </c>
      <c r="F38" s="4" t="s">
        <v>341</v>
      </c>
      <c r="G38" s="4" t="b">
        <v>1</v>
      </c>
      <c r="H38" s="4" t="b"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4">
        <v>24.0</v>
      </c>
      <c r="B39" s="128" t="s">
        <v>350</v>
      </c>
      <c r="C39" s="4"/>
      <c r="D39" s="4" t="s">
        <v>301</v>
      </c>
      <c r="E39" s="130" t="s">
        <v>351</v>
      </c>
      <c r="F39" s="4" t="s">
        <v>341</v>
      </c>
      <c r="G39" s="4" t="b">
        <v>1</v>
      </c>
      <c r="H39" s="4" t="b">
        <v>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134" t="s">
        <v>240</v>
      </c>
      <c r="C40" s="135"/>
      <c r="D40" s="4"/>
      <c r="E40" s="1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4">
        <v>25.0</v>
      </c>
      <c r="B41" s="128" t="s">
        <v>352</v>
      </c>
      <c r="C41" s="4"/>
      <c r="D41" s="120" t="s">
        <v>296</v>
      </c>
      <c r="E41" s="130" t="s">
        <v>353</v>
      </c>
      <c r="F41" s="4" t="s">
        <v>354</v>
      </c>
      <c r="G41" s="4" t="b">
        <v>0</v>
      </c>
      <c r="H41" s="4" t="b">
        <v>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4">
        <v>26.0</v>
      </c>
      <c r="B42" s="128" t="s">
        <v>355</v>
      </c>
      <c r="C42" s="4"/>
      <c r="D42" s="120" t="s">
        <v>296</v>
      </c>
      <c r="E42" s="130" t="s">
        <v>356</v>
      </c>
      <c r="F42" s="4" t="s">
        <v>354</v>
      </c>
      <c r="G42" s="4" t="b">
        <v>0</v>
      </c>
      <c r="H42" s="4" t="b">
        <v>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4">
        <v>27.0</v>
      </c>
      <c r="B43" s="128" t="s">
        <v>357</v>
      </c>
      <c r="C43" s="4"/>
      <c r="D43" s="120" t="s">
        <v>296</v>
      </c>
      <c r="E43" s="130" t="s">
        <v>358</v>
      </c>
      <c r="F43" s="4" t="s">
        <v>354</v>
      </c>
      <c r="G43" s="4" t="b">
        <v>0</v>
      </c>
      <c r="H43" s="4" t="b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4">
        <v>28.0</v>
      </c>
      <c r="B44" s="128" t="s">
        <v>359</v>
      </c>
      <c r="C44" s="4"/>
      <c r="D44" s="120" t="s">
        <v>296</v>
      </c>
      <c r="E44" s="130" t="s">
        <v>360</v>
      </c>
      <c r="F44" s="4" t="s">
        <v>354</v>
      </c>
      <c r="G44" s="4" t="b">
        <v>0</v>
      </c>
      <c r="H44" s="4" t="b">
        <v>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4">
        <v>29.0</v>
      </c>
      <c r="B45" s="128" t="s">
        <v>361</v>
      </c>
      <c r="C45" s="4"/>
      <c r="D45" s="120" t="s">
        <v>296</v>
      </c>
      <c r="E45" s="130" t="s">
        <v>362</v>
      </c>
      <c r="F45" s="4" t="s">
        <v>354</v>
      </c>
      <c r="G45" s="4" t="b">
        <v>0</v>
      </c>
      <c r="H45" s="4" t="b">
        <v>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4">
        <v>30.0</v>
      </c>
      <c r="B46" s="128" t="s">
        <v>363</v>
      </c>
      <c r="C46" s="4"/>
      <c r="D46" s="120" t="s">
        <v>296</v>
      </c>
      <c r="E46" s="130" t="s">
        <v>364</v>
      </c>
      <c r="F46" s="4" t="s">
        <v>354</v>
      </c>
      <c r="G46" s="4" t="b">
        <v>0</v>
      </c>
      <c r="H46" s="4" t="b">
        <v>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4">
        <v>31.0</v>
      </c>
      <c r="B47" s="136" t="s">
        <v>365</v>
      </c>
      <c r="C47" s="4"/>
      <c r="D47" s="120" t="s">
        <v>296</v>
      </c>
      <c r="E47" s="130" t="s">
        <v>366</v>
      </c>
      <c r="F47" s="4" t="s">
        <v>367</v>
      </c>
      <c r="G47" s="4" t="b">
        <v>0</v>
      </c>
      <c r="H47" s="4" t="b">
        <v>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4"/>
      <c r="B48" s="136" t="s">
        <v>368</v>
      </c>
      <c r="D48" s="4" t="s">
        <v>301</v>
      </c>
      <c r="E48" s="130" t="s">
        <v>369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4">
        <v>32.0</v>
      </c>
      <c r="B49" s="128" t="s">
        <v>370</v>
      </c>
      <c r="C49" s="4"/>
      <c r="D49" s="120" t="s">
        <v>296</v>
      </c>
      <c r="E49" s="130" t="s">
        <v>371</v>
      </c>
      <c r="F49" s="4" t="s">
        <v>367</v>
      </c>
      <c r="G49" s="4" t="b">
        <v>0</v>
      </c>
      <c r="H49" s="4" t="b"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4">
        <v>33.0</v>
      </c>
      <c r="B50" s="128" t="s">
        <v>372</v>
      </c>
      <c r="C50" s="4"/>
      <c r="D50" s="120" t="s">
        <v>296</v>
      </c>
      <c r="E50" s="130" t="s">
        <v>373</v>
      </c>
      <c r="F50" s="4" t="s">
        <v>367</v>
      </c>
      <c r="G50" s="4" t="b">
        <v>0</v>
      </c>
      <c r="H50" s="4" t="b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4">
        <v>34.0</v>
      </c>
      <c r="B51" s="128" t="s">
        <v>374</v>
      </c>
      <c r="C51" s="4"/>
      <c r="D51" s="120" t="s">
        <v>296</v>
      </c>
      <c r="E51" s="130" t="s">
        <v>375</v>
      </c>
      <c r="F51" s="4" t="s">
        <v>367</v>
      </c>
      <c r="G51" s="4" t="b">
        <v>0</v>
      </c>
      <c r="H51" s="4" t="b">
        <v>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4">
        <v>35.0</v>
      </c>
      <c r="B52" s="137" t="s">
        <v>376</v>
      </c>
      <c r="C52" s="138"/>
      <c r="D52" s="120" t="s">
        <v>296</v>
      </c>
      <c r="E52" s="130" t="s">
        <v>377</v>
      </c>
      <c r="F52" s="4" t="s">
        <v>367</v>
      </c>
      <c r="G52" s="4" t="b">
        <v>0</v>
      </c>
      <c r="H52" s="4" t="b">
        <v>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4">
        <v>36.0</v>
      </c>
      <c r="B53" s="137" t="s">
        <v>378</v>
      </c>
      <c r="C53" s="138"/>
      <c r="D53" s="120" t="s">
        <v>296</v>
      </c>
      <c r="E53" s="130" t="s">
        <v>379</v>
      </c>
      <c r="F53" s="4" t="s">
        <v>367</v>
      </c>
      <c r="G53" s="4" t="b">
        <v>0</v>
      </c>
      <c r="H53" s="4" t="b"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4"/>
      <c r="B54" s="136" t="s">
        <v>380</v>
      </c>
      <c r="D54" s="4" t="s">
        <v>301</v>
      </c>
      <c r="E54" s="130" t="s">
        <v>381</v>
      </c>
      <c r="F54" s="1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B55" s="127"/>
      <c r="E55" s="16"/>
    </row>
    <row r="56" ht="15.75" customHeight="1">
      <c r="B56" s="127"/>
      <c r="E56" s="16"/>
    </row>
    <row r="57" ht="15.75" customHeight="1">
      <c r="B57" s="127"/>
      <c r="E57" s="16"/>
    </row>
    <row r="58" ht="15.75" customHeight="1">
      <c r="B58" s="127"/>
      <c r="E58" s="16"/>
    </row>
    <row r="59" ht="15.75" customHeight="1">
      <c r="B59" s="127"/>
      <c r="E59" s="16"/>
    </row>
    <row r="60" ht="15.75" customHeight="1">
      <c r="B60" s="129" t="s">
        <v>382</v>
      </c>
      <c r="E60" s="16"/>
    </row>
    <row r="61" ht="15.75" customHeight="1">
      <c r="A61" s="4"/>
      <c r="B61" s="127" t="s">
        <v>383</v>
      </c>
      <c r="C61" s="139"/>
      <c r="D61" s="4"/>
      <c r="E61" s="1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27" t="s">
        <v>384</v>
      </c>
      <c r="C62" s="4"/>
      <c r="D62" s="4"/>
      <c r="E62" s="1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27" t="s">
        <v>385</v>
      </c>
      <c r="C63" s="4"/>
      <c r="D63" s="4"/>
      <c r="E63" s="1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27" t="s">
        <v>273</v>
      </c>
      <c r="C64" s="4"/>
      <c r="D64" s="4"/>
      <c r="E64" s="1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27" t="s">
        <v>386</v>
      </c>
      <c r="C65" s="4"/>
      <c r="D65" s="4"/>
      <c r="E65" s="1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27" t="s">
        <v>387</v>
      </c>
      <c r="C66" s="4"/>
      <c r="D66" s="4"/>
      <c r="E66" s="1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27" t="s">
        <v>275</v>
      </c>
      <c r="C67" s="4"/>
      <c r="D67" s="4"/>
      <c r="E67" s="1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27" t="s">
        <v>31</v>
      </c>
      <c r="C68" s="4"/>
      <c r="D68" s="4"/>
      <c r="E68" s="1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27"/>
      <c r="C69" s="4"/>
      <c r="D69" s="4"/>
      <c r="E69" s="1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27"/>
      <c r="C70" s="4"/>
      <c r="D70" s="4"/>
      <c r="E70" s="1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29" t="s">
        <v>276</v>
      </c>
      <c r="C71" s="4"/>
      <c r="D71" s="4"/>
      <c r="E71" s="1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27" t="s">
        <v>277</v>
      </c>
      <c r="C72" s="4"/>
      <c r="D72" s="4"/>
      <c r="E72" s="1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27" t="s">
        <v>278</v>
      </c>
      <c r="C73" s="4"/>
      <c r="D73" s="4"/>
      <c r="E73" s="1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27" t="s">
        <v>279</v>
      </c>
      <c r="C74" s="4"/>
      <c r="D74" s="4"/>
      <c r="E74" s="1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27" t="s">
        <v>280</v>
      </c>
      <c r="C75" s="4"/>
      <c r="D75" s="4"/>
      <c r="E75" s="1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27" t="s">
        <v>281</v>
      </c>
      <c r="C76" s="4"/>
      <c r="D76" s="4"/>
      <c r="E76" s="1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27" t="s">
        <v>282</v>
      </c>
      <c r="C77" s="4"/>
      <c r="D77" s="4"/>
      <c r="E77" s="1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27" t="s">
        <v>283</v>
      </c>
      <c r="C78" s="4"/>
      <c r="D78" s="4"/>
      <c r="E78" s="1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27" t="s">
        <v>284</v>
      </c>
      <c r="C79" s="4"/>
      <c r="D79" s="4"/>
      <c r="E79" s="1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27"/>
      <c r="C80" s="4"/>
      <c r="D80" s="4"/>
      <c r="E80" s="1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27"/>
      <c r="C81" s="4"/>
      <c r="D81" s="4"/>
      <c r="E81" s="1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27"/>
      <c r="C82" s="4"/>
      <c r="D82" s="4"/>
      <c r="E82" s="1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27"/>
      <c r="C83" s="4"/>
      <c r="D83" s="4"/>
      <c r="E83" s="1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27"/>
      <c r="C84" s="4"/>
      <c r="D84" s="4"/>
      <c r="E84" s="1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27"/>
      <c r="C85" s="4"/>
      <c r="D85" s="4"/>
      <c r="E85" s="1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27"/>
      <c r="C86" s="4"/>
      <c r="D86" s="4"/>
      <c r="E86" s="1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27"/>
      <c r="C87" s="4"/>
      <c r="D87" s="4"/>
      <c r="E87" s="1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27"/>
      <c r="C88" s="4"/>
      <c r="D88" s="4"/>
      <c r="E88" s="1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27"/>
      <c r="C89" s="4"/>
      <c r="D89" s="4"/>
      <c r="E89" s="1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27"/>
      <c r="C90" s="4"/>
      <c r="D90" s="4"/>
      <c r="E90" s="1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27"/>
      <c r="C91" s="4"/>
      <c r="D91" s="4"/>
      <c r="E91" s="1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27"/>
      <c r="C92" s="4"/>
      <c r="D92" s="4"/>
      <c r="E92" s="1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27"/>
      <c r="C93" s="4"/>
      <c r="D93" s="4"/>
      <c r="E93" s="1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27"/>
      <c r="C94" s="4"/>
      <c r="D94" s="4"/>
      <c r="E94" s="1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27"/>
      <c r="C95" s="4"/>
      <c r="D95" s="4"/>
      <c r="E95" s="1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27"/>
      <c r="C96" s="4"/>
      <c r="D96" s="4"/>
      <c r="E96" s="1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27"/>
      <c r="C97" s="4"/>
      <c r="D97" s="4"/>
      <c r="E97" s="1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27"/>
      <c r="C98" s="4"/>
      <c r="D98" s="4"/>
      <c r="E98" s="1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27"/>
      <c r="C99" s="4"/>
      <c r="D99" s="4"/>
      <c r="E99" s="1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27"/>
      <c r="C100" s="4"/>
      <c r="D100" s="4"/>
      <c r="E100" s="1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27"/>
      <c r="C101" s="4"/>
      <c r="D101" s="4"/>
      <c r="E101" s="1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27"/>
      <c r="C102" s="4"/>
      <c r="D102" s="4"/>
      <c r="E102" s="1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27"/>
      <c r="C103" s="4"/>
      <c r="D103" s="4"/>
      <c r="E103" s="1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27"/>
      <c r="C104" s="4"/>
      <c r="D104" s="4"/>
      <c r="E104" s="1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27"/>
      <c r="C105" s="4"/>
      <c r="D105" s="4"/>
      <c r="E105" s="1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27"/>
      <c r="C106" s="4"/>
      <c r="D106" s="4"/>
      <c r="E106" s="1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27"/>
      <c r="C107" s="4"/>
      <c r="D107" s="4"/>
      <c r="E107" s="1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27"/>
      <c r="C108" s="4"/>
      <c r="D108" s="4"/>
      <c r="E108" s="1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27"/>
      <c r="C109" s="4"/>
      <c r="D109" s="4"/>
      <c r="E109" s="1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27"/>
      <c r="C110" s="4"/>
      <c r="D110" s="4"/>
      <c r="E110" s="1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27"/>
      <c r="C111" s="4"/>
      <c r="D111" s="4"/>
      <c r="E111" s="1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27"/>
      <c r="C112" s="4"/>
      <c r="D112" s="4"/>
      <c r="E112" s="1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27"/>
      <c r="C113" s="4"/>
      <c r="D113" s="4"/>
      <c r="E113" s="1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27"/>
      <c r="C114" s="4"/>
      <c r="D114" s="4"/>
      <c r="E114" s="1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27"/>
      <c r="C115" s="4"/>
      <c r="D115" s="4"/>
      <c r="E115" s="1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27"/>
      <c r="C116" s="4"/>
      <c r="D116" s="4"/>
      <c r="E116" s="1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27"/>
      <c r="C117" s="4"/>
      <c r="D117" s="4"/>
      <c r="E117" s="1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27"/>
      <c r="C118" s="4"/>
      <c r="D118" s="4"/>
      <c r="E118" s="1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27"/>
      <c r="C119" s="4"/>
      <c r="D119" s="4"/>
      <c r="E119" s="1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27"/>
      <c r="C120" s="4"/>
      <c r="D120" s="4"/>
      <c r="E120" s="1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27"/>
      <c r="C121" s="4"/>
      <c r="D121" s="4"/>
      <c r="E121" s="1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27"/>
      <c r="C122" s="4"/>
      <c r="D122" s="4"/>
      <c r="E122" s="1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27"/>
      <c r="C123" s="4"/>
      <c r="D123" s="4"/>
      <c r="E123" s="1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27"/>
      <c r="C124" s="4"/>
      <c r="D124" s="4"/>
      <c r="E124" s="1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27"/>
      <c r="C125" s="4"/>
      <c r="D125" s="4"/>
      <c r="E125" s="1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27"/>
      <c r="C126" s="4"/>
      <c r="D126" s="4"/>
      <c r="E126" s="1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27"/>
      <c r="C127" s="4"/>
      <c r="D127" s="4"/>
      <c r="E127" s="1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27"/>
      <c r="C128" s="4"/>
      <c r="D128" s="4"/>
      <c r="E128" s="1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27"/>
      <c r="C129" s="4"/>
      <c r="D129" s="4"/>
      <c r="E129" s="1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27"/>
      <c r="C130" s="4"/>
      <c r="D130" s="4"/>
      <c r="E130" s="1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27"/>
      <c r="C131" s="4"/>
      <c r="D131" s="4"/>
      <c r="E131" s="1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27"/>
      <c r="C132" s="4"/>
      <c r="D132" s="4"/>
      <c r="E132" s="1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27"/>
      <c r="C133" s="4"/>
      <c r="D133" s="4"/>
      <c r="E133" s="1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27"/>
      <c r="C134" s="4"/>
      <c r="D134" s="4"/>
      <c r="E134" s="1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27"/>
      <c r="C135" s="4"/>
      <c r="D135" s="4"/>
      <c r="E135" s="1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27"/>
      <c r="C136" s="4"/>
      <c r="D136" s="4"/>
      <c r="E136" s="1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27"/>
      <c r="C137" s="4"/>
      <c r="D137" s="4"/>
      <c r="E137" s="1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27"/>
      <c r="C138" s="4"/>
      <c r="D138" s="4"/>
      <c r="E138" s="1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27"/>
      <c r="C139" s="4"/>
      <c r="D139" s="4"/>
      <c r="E139" s="1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27"/>
      <c r="C140" s="4"/>
      <c r="D140" s="4"/>
      <c r="E140" s="1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27"/>
      <c r="C141" s="4"/>
      <c r="D141" s="4"/>
      <c r="E141" s="1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27"/>
      <c r="C142" s="4"/>
      <c r="D142" s="4"/>
      <c r="E142" s="1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27"/>
      <c r="C143" s="4"/>
      <c r="D143" s="4"/>
      <c r="E143" s="1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27"/>
      <c r="C144" s="4"/>
      <c r="D144" s="4"/>
      <c r="E144" s="1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27"/>
      <c r="C145" s="4"/>
      <c r="D145" s="4"/>
      <c r="E145" s="1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27"/>
      <c r="C146" s="4"/>
      <c r="D146" s="4"/>
      <c r="E146" s="1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27"/>
      <c r="C147" s="4"/>
      <c r="D147" s="4"/>
      <c r="E147" s="1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27"/>
      <c r="C148" s="4"/>
      <c r="D148" s="4"/>
      <c r="E148" s="1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27"/>
      <c r="C149" s="4"/>
      <c r="D149" s="4"/>
      <c r="E149" s="1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27"/>
      <c r="C150" s="4"/>
      <c r="D150" s="4"/>
      <c r="E150" s="1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27"/>
      <c r="C151" s="4"/>
      <c r="D151" s="4"/>
      <c r="E151" s="1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27"/>
      <c r="C152" s="4"/>
      <c r="D152" s="4"/>
      <c r="E152" s="1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27"/>
      <c r="C153" s="4"/>
      <c r="D153" s="4"/>
      <c r="E153" s="1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27"/>
      <c r="C154" s="4"/>
      <c r="D154" s="4"/>
      <c r="E154" s="1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27"/>
      <c r="C155" s="4"/>
      <c r="D155" s="4"/>
      <c r="E155" s="1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27"/>
      <c r="C156" s="4"/>
      <c r="D156" s="4"/>
      <c r="E156" s="1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27"/>
      <c r="C157" s="4"/>
      <c r="D157" s="4"/>
      <c r="E157" s="1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27"/>
      <c r="C158" s="4"/>
      <c r="D158" s="4"/>
      <c r="E158" s="1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27"/>
      <c r="C159" s="4"/>
      <c r="D159" s="4"/>
      <c r="E159" s="1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27"/>
      <c r="C160" s="4"/>
      <c r="D160" s="4"/>
      <c r="E160" s="1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27"/>
      <c r="C161" s="4"/>
      <c r="D161" s="4"/>
      <c r="E161" s="1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27"/>
      <c r="C162" s="4"/>
      <c r="D162" s="4"/>
      <c r="E162" s="1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27"/>
      <c r="C163" s="4"/>
      <c r="D163" s="4"/>
      <c r="E163" s="1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27"/>
      <c r="C164" s="4"/>
      <c r="D164" s="4"/>
      <c r="E164" s="1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27"/>
      <c r="C165" s="4"/>
      <c r="D165" s="4"/>
      <c r="E165" s="1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27"/>
      <c r="C166" s="4"/>
      <c r="D166" s="4"/>
      <c r="E166" s="1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27"/>
      <c r="C167" s="4"/>
      <c r="D167" s="4"/>
      <c r="E167" s="1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27"/>
      <c r="C168" s="4"/>
      <c r="D168" s="4"/>
      <c r="E168" s="1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27"/>
      <c r="C169" s="4"/>
      <c r="D169" s="4"/>
      <c r="E169" s="1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27"/>
      <c r="C170" s="4"/>
      <c r="D170" s="4"/>
      <c r="E170" s="1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27"/>
      <c r="C171" s="4"/>
      <c r="D171" s="4"/>
      <c r="E171" s="1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27"/>
      <c r="C172" s="4"/>
      <c r="D172" s="4"/>
      <c r="E172" s="1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27"/>
      <c r="C173" s="4"/>
      <c r="D173" s="4"/>
      <c r="E173" s="1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27"/>
      <c r="C174" s="4"/>
      <c r="D174" s="4"/>
      <c r="E174" s="1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27"/>
      <c r="C175" s="4"/>
      <c r="D175" s="4"/>
      <c r="E175" s="1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27"/>
      <c r="C176" s="4"/>
      <c r="D176" s="4"/>
      <c r="E176" s="1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27"/>
      <c r="C177" s="4"/>
      <c r="D177" s="4"/>
      <c r="E177" s="1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27"/>
      <c r="C178" s="4"/>
      <c r="D178" s="4"/>
      <c r="E178" s="1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27"/>
      <c r="C179" s="4"/>
      <c r="D179" s="4"/>
      <c r="E179" s="1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27"/>
      <c r="C180" s="4"/>
      <c r="D180" s="4"/>
      <c r="E180" s="1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27"/>
      <c r="C181" s="4"/>
      <c r="D181" s="4"/>
      <c r="E181" s="1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27"/>
      <c r="C182" s="4"/>
      <c r="D182" s="4"/>
      <c r="E182" s="1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27"/>
      <c r="C183" s="4"/>
      <c r="D183" s="4"/>
      <c r="E183" s="1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27"/>
      <c r="C184" s="4"/>
      <c r="D184" s="4"/>
      <c r="E184" s="1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27"/>
      <c r="C185" s="4"/>
      <c r="D185" s="4"/>
      <c r="E185" s="1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27"/>
      <c r="C186" s="4"/>
      <c r="D186" s="4"/>
      <c r="E186" s="1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27"/>
      <c r="C187" s="4"/>
      <c r="D187" s="4"/>
      <c r="E187" s="1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27"/>
      <c r="C188" s="4"/>
      <c r="D188" s="4"/>
      <c r="E188" s="1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27"/>
      <c r="C189" s="4"/>
      <c r="D189" s="4"/>
      <c r="E189" s="1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27"/>
      <c r="C190" s="4"/>
      <c r="D190" s="4"/>
      <c r="E190" s="1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27"/>
      <c r="C191" s="4"/>
      <c r="D191" s="4"/>
      <c r="E191" s="1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27"/>
      <c r="C192" s="4"/>
      <c r="D192" s="4"/>
      <c r="E192" s="1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27"/>
      <c r="C193" s="4"/>
      <c r="D193" s="4"/>
      <c r="E193" s="1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27"/>
      <c r="C194" s="4"/>
      <c r="D194" s="4"/>
      <c r="E194" s="1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27"/>
      <c r="C195" s="4"/>
      <c r="D195" s="4"/>
      <c r="E195" s="1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27"/>
      <c r="C196" s="4"/>
      <c r="D196" s="4"/>
      <c r="E196" s="1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27"/>
      <c r="C197" s="4"/>
      <c r="D197" s="4"/>
      <c r="E197" s="1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27"/>
      <c r="C198" s="4"/>
      <c r="D198" s="4"/>
      <c r="E198" s="1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27"/>
      <c r="C199" s="4"/>
      <c r="D199" s="4"/>
      <c r="E199" s="1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27"/>
      <c r="C200" s="4"/>
      <c r="D200" s="4"/>
      <c r="E200" s="1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27"/>
      <c r="C201" s="4"/>
      <c r="D201" s="4"/>
      <c r="E201" s="1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27"/>
      <c r="C202" s="4"/>
      <c r="D202" s="4"/>
      <c r="E202" s="1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27"/>
      <c r="C203" s="4"/>
      <c r="D203" s="4"/>
      <c r="E203" s="1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27"/>
      <c r="C204" s="4"/>
      <c r="D204" s="4"/>
      <c r="E204" s="1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27"/>
      <c r="C205" s="4"/>
      <c r="D205" s="4"/>
      <c r="E205" s="1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27"/>
      <c r="C206" s="4"/>
      <c r="D206" s="4"/>
      <c r="E206" s="1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27"/>
      <c r="C207" s="4"/>
      <c r="D207" s="4"/>
      <c r="E207" s="1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27"/>
      <c r="C208" s="4"/>
      <c r="D208" s="4"/>
      <c r="E208" s="1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27"/>
      <c r="C209" s="4"/>
      <c r="D209" s="4"/>
      <c r="E209" s="1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27"/>
      <c r="C210" s="4"/>
      <c r="D210" s="4"/>
      <c r="E210" s="1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27"/>
      <c r="C211" s="4"/>
      <c r="D211" s="4"/>
      <c r="E211" s="1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27"/>
      <c r="C212" s="4"/>
      <c r="D212" s="4"/>
      <c r="E212" s="1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27"/>
      <c r="C213" s="4"/>
      <c r="D213" s="4"/>
      <c r="E213" s="1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27"/>
      <c r="C214" s="4"/>
      <c r="D214" s="4"/>
      <c r="E214" s="1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27"/>
      <c r="C215" s="4"/>
      <c r="D215" s="4"/>
      <c r="E215" s="1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27"/>
      <c r="C216" s="4"/>
      <c r="D216" s="4"/>
      <c r="E216" s="1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27"/>
      <c r="C217" s="4"/>
      <c r="D217" s="4"/>
      <c r="E217" s="1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27"/>
      <c r="C218" s="4"/>
      <c r="D218" s="4"/>
      <c r="E218" s="1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27"/>
      <c r="C219" s="4"/>
      <c r="D219" s="4"/>
      <c r="E219" s="1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27"/>
      <c r="C220" s="4"/>
      <c r="D220" s="4"/>
      <c r="E220" s="1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127"/>
      <c r="C221" s="4"/>
      <c r="D221" s="4"/>
      <c r="E221" s="1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127"/>
      <c r="C222" s="4"/>
      <c r="D222" s="4"/>
      <c r="E222" s="1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127"/>
      <c r="C223" s="4"/>
      <c r="D223" s="4"/>
      <c r="E223" s="1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127"/>
      <c r="C224" s="4"/>
      <c r="D224" s="4"/>
      <c r="E224" s="1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127"/>
      <c r="C225" s="4"/>
      <c r="D225" s="4"/>
      <c r="E225" s="1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127"/>
      <c r="C226" s="4"/>
      <c r="D226" s="4"/>
      <c r="E226" s="1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127"/>
      <c r="C227" s="4"/>
      <c r="D227" s="4"/>
      <c r="E227" s="1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27"/>
      <c r="C228" s="4"/>
      <c r="D228" s="4"/>
      <c r="E228" s="1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127"/>
      <c r="C229" s="4"/>
      <c r="D229" s="4"/>
      <c r="E229" s="1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127"/>
      <c r="C230" s="4"/>
      <c r="D230" s="4"/>
      <c r="E230" s="1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127"/>
      <c r="C231" s="4"/>
      <c r="D231" s="4"/>
      <c r="E231" s="1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127"/>
      <c r="C232" s="4"/>
      <c r="D232" s="4"/>
      <c r="E232" s="1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127"/>
      <c r="C233" s="4"/>
      <c r="D233" s="4"/>
      <c r="E233" s="1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127"/>
      <c r="C234" s="4"/>
      <c r="D234" s="4"/>
      <c r="E234" s="1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127"/>
      <c r="C235" s="4"/>
      <c r="D235" s="4"/>
      <c r="E235" s="1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127"/>
      <c r="C236" s="4"/>
      <c r="D236" s="4"/>
      <c r="E236" s="1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127"/>
      <c r="C237" s="4"/>
      <c r="D237" s="4"/>
      <c r="E237" s="1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127"/>
      <c r="C238" s="4"/>
      <c r="D238" s="4"/>
      <c r="E238" s="1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127"/>
      <c r="C239" s="4"/>
      <c r="D239" s="4"/>
      <c r="E239" s="1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127"/>
      <c r="C240" s="4"/>
      <c r="D240" s="4"/>
      <c r="E240" s="1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127"/>
      <c r="C241" s="4"/>
      <c r="D241" s="4"/>
      <c r="E241" s="1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127"/>
      <c r="C242" s="4"/>
      <c r="D242" s="4"/>
      <c r="E242" s="1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127"/>
      <c r="C243" s="4"/>
      <c r="D243" s="4"/>
      <c r="E243" s="1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127"/>
      <c r="C244" s="4"/>
      <c r="D244" s="4"/>
      <c r="E244" s="1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127"/>
      <c r="C245" s="4"/>
      <c r="D245" s="4"/>
      <c r="E245" s="1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127"/>
      <c r="C246" s="4"/>
      <c r="D246" s="4"/>
      <c r="E246" s="1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27"/>
      <c r="C247" s="4"/>
      <c r="D247" s="4"/>
      <c r="E247" s="1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27"/>
      <c r="C248" s="4"/>
      <c r="D248" s="4"/>
      <c r="E248" s="1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27"/>
      <c r="C249" s="4"/>
      <c r="D249" s="4"/>
      <c r="E249" s="1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27"/>
      <c r="C250" s="4"/>
      <c r="D250" s="4"/>
      <c r="E250" s="1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27"/>
      <c r="C251" s="4"/>
      <c r="D251" s="4"/>
      <c r="E251" s="1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27"/>
      <c r="C252" s="4"/>
      <c r="D252" s="4"/>
      <c r="E252" s="1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27"/>
      <c r="C253" s="4"/>
      <c r="D253" s="4"/>
      <c r="E253" s="1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27"/>
      <c r="C254" s="4"/>
      <c r="D254" s="4"/>
      <c r="E254" s="1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27"/>
      <c r="C255" s="4"/>
      <c r="D255" s="4"/>
      <c r="E255" s="1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27"/>
      <c r="C256" s="4"/>
      <c r="D256" s="4"/>
      <c r="E256" s="1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27"/>
      <c r="C257" s="4"/>
      <c r="D257" s="4"/>
      <c r="E257" s="1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27"/>
      <c r="C258" s="4"/>
      <c r="D258" s="4"/>
      <c r="E258" s="1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27"/>
      <c r="C259" s="4"/>
      <c r="D259" s="4"/>
      <c r="E259" s="1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27"/>
      <c r="C260" s="4"/>
      <c r="D260" s="4"/>
      <c r="E260" s="1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27"/>
      <c r="C261" s="4"/>
      <c r="D261" s="4"/>
      <c r="E261" s="1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27"/>
      <c r="C262" s="4"/>
      <c r="D262" s="4"/>
      <c r="E262" s="1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27"/>
      <c r="C263" s="4"/>
      <c r="D263" s="4"/>
      <c r="E263" s="1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27"/>
      <c r="C264" s="4"/>
      <c r="D264" s="4"/>
      <c r="E264" s="1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27"/>
      <c r="C265" s="4"/>
      <c r="D265" s="4"/>
      <c r="E265" s="1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27"/>
      <c r="C266" s="4"/>
      <c r="D266" s="4"/>
      <c r="E266" s="1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27"/>
      <c r="C267" s="4"/>
      <c r="D267" s="4"/>
      <c r="E267" s="1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27"/>
      <c r="C268" s="4"/>
      <c r="D268" s="4"/>
      <c r="E268" s="1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27"/>
      <c r="C269" s="4"/>
      <c r="D269" s="4"/>
      <c r="E269" s="1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27"/>
      <c r="C270" s="4"/>
      <c r="D270" s="4"/>
      <c r="E270" s="1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27"/>
      <c r="C271" s="4"/>
      <c r="D271" s="4"/>
      <c r="E271" s="1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27"/>
      <c r="C272" s="4"/>
      <c r="D272" s="4"/>
      <c r="E272" s="1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127"/>
      <c r="C273" s="4"/>
      <c r="D273" s="4"/>
      <c r="E273" s="1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127"/>
      <c r="C274" s="4"/>
      <c r="D274" s="4"/>
      <c r="E274" s="1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127"/>
      <c r="C275" s="4"/>
      <c r="D275" s="4"/>
      <c r="E275" s="1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127"/>
      <c r="C276" s="4"/>
      <c r="D276" s="4"/>
      <c r="E276" s="1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127"/>
      <c r="C277" s="4"/>
      <c r="D277" s="4"/>
      <c r="E277" s="1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127"/>
      <c r="C278" s="4"/>
      <c r="D278" s="4"/>
      <c r="E278" s="1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127"/>
      <c r="C279" s="4"/>
      <c r="D279" s="4"/>
      <c r="E279" s="1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E2"/>
  </mergeCells>
  <dataValidations>
    <dataValidation type="list" allowBlank="1" showErrorMessage="1" sqref="C5:C7 C15:C18 C20:C22 C26:C28 C30:C32 C34:C39 C41:C47 C49:C53">
      <formula1>"Ya,Tidak"</formula1>
    </dataValidation>
  </dataValidations>
  <hyperlinks>
    <hyperlink r:id="rId1" ref="K2"/>
    <hyperlink r:id="rId2" ref="K3"/>
    <hyperlink r:id="rId3" location="gid=757615016" ref="L7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2025-06-25T01:59:47Z</dcterms:created>
  <dc:creator>USER</dc:creator>
</cp:coreProperties>
</file>